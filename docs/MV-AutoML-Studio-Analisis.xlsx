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1-24 meses" sheetId="1" state="visible" r:id="rId1"/>
    <sheet name="Calificación" sheetId="2" state="visible" r:id="rId2"/>
    <sheet name="Supuestos" sheetId="3" state="visible" r:id="rId3"/>
    <sheet name="Sin publicidad" sheetId="4" state="visible" r:id="rId4"/>
    <sheet name="Con publicidad" sheetId="5" state="visible" r:id="rId5"/>
    <sheet name="Impuestos Uruguay" sheetId="6" state="visible" r:id="rId6"/>
    <sheet name="Competenc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b val="1"/>
      <color rgb="001E3A8A"/>
      <sz val="15"/>
    </font>
    <font>
      <color rgb="006B7280"/>
      <sz val="9"/>
    </font>
    <font>
      <b val="1"/>
      <color rgb="00FFFFFF"/>
      <sz val="11"/>
    </font>
    <font>
      <b val="1"/>
    </font>
    <font>
      <b val="1"/>
      <sz val="12"/>
    </font>
    <font>
      <b val="1"/>
      <color rgb="00FFFFFF"/>
      <sz val="14"/>
    </font>
    <font>
      <b val="1"/>
      <color rgb="001E3A8A"/>
      <sz val="10"/>
    </font>
    <font>
      <b val="1"/>
      <color rgb="001E3A8A"/>
      <sz val="12"/>
    </font>
  </fonts>
  <fills count="9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8EDFA"/>
      </patternFill>
    </fill>
    <fill>
      <patternFill patternType="solid">
        <fgColor rgb="00F0FDF4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3" fontId="4" fillId="0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6" borderId="0" pivotButton="0" quotePrefix="0" xfId="0"/>
    <xf numFmtId="0" fontId="0" fillId="6" borderId="0" pivotButton="0" quotePrefix="0" xfId="0"/>
    <xf numFmtId="4" fontId="4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165" fontId="0" fillId="6" borderId="0" pivotButton="0" quotePrefix="0" xfId="0"/>
    <xf numFmtId="3" fontId="0" fillId="6" borderId="0" pivotButton="0" quotePrefix="0" xfId="0"/>
    <xf numFmtId="3" fontId="4" fillId="6" borderId="0" pivotButton="0" quotePrefix="0" xfId="0"/>
    <xf numFmtId="165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6" borderId="1" pivotButton="0" quotePrefix="0" xfId="0"/>
    <xf numFmtId="0" fontId="0" fillId="6" borderId="1" applyAlignment="1" pivotButton="0" quotePrefix="0" xfId="0">
      <alignment vertical="top" wrapText="1"/>
    </xf>
    <xf numFmtId="0" fontId="4" fillId="7" borderId="1" pivotButton="0" quotePrefix="0" xfId="0"/>
    <xf numFmtId="0" fontId="0" fillId="7" borderId="1" applyAlignment="1" pivotButton="0" quotePrefix="0" xfId="0">
      <alignment vertical="top" wrapText="1"/>
    </xf>
    <xf numFmtId="0" fontId="4" fillId="8" borderId="1" pivotButton="0" quotePrefix="0" xfId="0"/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8" customWidth="1" min="4" max="4"/>
    <col width="20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Rentabilidad neta en los meses que pediste</t>
        </is>
      </c>
    </row>
    <row r="2">
      <c r="A2" s="2" t="inlineStr">
        <is>
          <t>Comparación de los dos escenarios en los meses 1, 3, 6, 9, 12, 18 y 24. «Del mes» es lo que deja ese mes solo; «acumulado» es todo lo ganado desde el arranque. Los números salen de las hojas «Sin publicidad» y «Con publicidad» — cambiá los supuestos y esto se mueve.</t>
        </is>
      </c>
    </row>
    <row r="4" ht="30" customHeight="1">
      <c r="A4" s="3" t="inlineStr">
        <is>
          <t>Mes</t>
        </is>
      </c>
      <c r="B4" s="3" t="inlineStr">
        <is>
          <t>Clientes activos (sin ads)</t>
        </is>
      </c>
      <c r="C4" s="3" t="inlineStr">
        <is>
          <t>Neto del mes (sin ads)</t>
        </is>
      </c>
      <c r="D4" s="3" t="inlineStr">
        <is>
          <t>Acumulado (sin ads)</t>
        </is>
      </c>
      <c r="E4" s="3" t="inlineStr">
        <is>
          <t>Clientes activos (con ads)</t>
        </is>
      </c>
      <c r="F4" s="3" t="inlineStr">
        <is>
          <t>Neto del mes (con ads)</t>
        </is>
      </c>
      <c r="G4" s="3" t="inlineStr">
        <is>
          <t>Acumulado (con ads)</t>
        </is>
      </c>
      <c r="H4" s="3" t="inlineStr">
        <is>
          <t>Diferencia acumulada</t>
        </is>
      </c>
    </row>
    <row r="5">
      <c r="A5" s="4" t="n">
        <v>1</v>
      </c>
      <c r="B5" s="5">
        <f>'Sin publicidad'!D5</f>
        <v/>
      </c>
      <c r="C5" s="6">
        <f>'Sin publicidad'!J5</f>
        <v/>
      </c>
      <c r="D5" s="6">
        <f>'Sin publicidad'!K5</f>
        <v/>
      </c>
      <c r="E5" s="5">
        <f>'Con publicidad'!D5</f>
        <v/>
      </c>
      <c r="F5" s="6">
        <f>'Con publicidad'!K5</f>
        <v/>
      </c>
      <c r="G5" s="6">
        <f>'Con publicidad'!L5</f>
        <v/>
      </c>
      <c r="H5" s="7">
        <f>G5-D5</f>
        <v/>
      </c>
    </row>
    <row r="6">
      <c r="A6" s="4" t="n">
        <v>3</v>
      </c>
      <c r="B6" s="5">
        <f>'Sin publicidad'!D7</f>
        <v/>
      </c>
      <c r="C6" s="6">
        <f>'Sin publicidad'!J7</f>
        <v/>
      </c>
      <c r="D6" s="6">
        <f>'Sin publicidad'!K7</f>
        <v/>
      </c>
      <c r="E6" s="5">
        <f>'Con publicidad'!D7</f>
        <v/>
      </c>
      <c r="F6" s="6">
        <f>'Con publicidad'!K7</f>
        <v/>
      </c>
      <c r="G6" s="6">
        <f>'Con publicidad'!L7</f>
        <v/>
      </c>
      <c r="H6" s="7">
        <f>G6-D6</f>
        <v/>
      </c>
    </row>
    <row r="7">
      <c r="A7" s="4" t="n">
        <v>6</v>
      </c>
      <c r="B7" s="5">
        <f>'Sin publicidad'!D10</f>
        <v/>
      </c>
      <c r="C7" s="6">
        <f>'Sin publicidad'!J10</f>
        <v/>
      </c>
      <c r="D7" s="6">
        <f>'Sin publicidad'!K10</f>
        <v/>
      </c>
      <c r="E7" s="5">
        <f>'Con publicidad'!D10</f>
        <v/>
      </c>
      <c r="F7" s="6">
        <f>'Con publicidad'!K10</f>
        <v/>
      </c>
      <c r="G7" s="6">
        <f>'Con publicidad'!L10</f>
        <v/>
      </c>
      <c r="H7" s="7">
        <f>G7-D7</f>
        <v/>
      </c>
    </row>
    <row r="8">
      <c r="A8" s="4" t="n">
        <v>9</v>
      </c>
      <c r="B8" s="5">
        <f>'Sin publicidad'!D13</f>
        <v/>
      </c>
      <c r="C8" s="6">
        <f>'Sin publicidad'!J13</f>
        <v/>
      </c>
      <c r="D8" s="6">
        <f>'Sin publicidad'!K13</f>
        <v/>
      </c>
      <c r="E8" s="5">
        <f>'Con publicidad'!D13</f>
        <v/>
      </c>
      <c r="F8" s="6">
        <f>'Con publicidad'!K13</f>
        <v/>
      </c>
      <c r="G8" s="6">
        <f>'Con publicidad'!L13</f>
        <v/>
      </c>
      <c r="H8" s="7">
        <f>G8-D8</f>
        <v/>
      </c>
    </row>
    <row r="9">
      <c r="A9" s="4" t="n">
        <v>12</v>
      </c>
      <c r="B9" s="5">
        <f>'Sin publicidad'!D16</f>
        <v/>
      </c>
      <c r="C9" s="6">
        <f>'Sin publicidad'!J16</f>
        <v/>
      </c>
      <c r="D9" s="6">
        <f>'Sin publicidad'!K16</f>
        <v/>
      </c>
      <c r="E9" s="5">
        <f>'Con publicidad'!D16</f>
        <v/>
      </c>
      <c r="F9" s="6">
        <f>'Con publicidad'!K16</f>
        <v/>
      </c>
      <c r="G9" s="6">
        <f>'Con publicidad'!L16</f>
        <v/>
      </c>
      <c r="H9" s="7">
        <f>G9-D9</f>
        <v/>
      </c>
    </row>
    <row r="10">
      <c r="A10" s="4" t="n">
        <v>18</v>
      </c>
      <c r="B10" s="5">
        <f>'Sin publicidad'!D22</f>
        <v/>
      </c>
      <c r="C10" s="6">
        <f>'Sin publicidad'!J22</f>
        <v/>
      </c>
      <c r="D10" s="6">
        <f>'Sin publicidad'!K22</f>
        <v/>
      </c>
      <c r="E10" s="5">
        <f>'Con publicidad'!D22</f>
        <v/>
      </c>
      <c r="F10" s="6">
        <f>'Con publicidad'!K22</f>
        <v/>
      </c>
      <c r="G10" s="6">
        <f>'Con publicidad'!L22</f>
        <v/>
      </c>
      <c r="H10" s="7">
        <f>G10-D10</f>
        <v/>
      </c>
    </row>
    <row r="11">
      <c r="A11" s="4" t="n">
        <v>24</v>
      </c>
      <c r="B11" s="5">
        <f>'Sin publicidad'!D28</f>
        <v/>
      </c>
      <c r="C11" s="6">
        <f>'Sin publicidad'!J28</f>
        <v/>
      </c>
      <c r="D11" s="6">
        <f>'Sin publicidad'!K28</f>
        <v/>
      </c>
      <c r="E11" s="5">
        <f>'Con publicidad'!D28</f>
        <v/>
      </c>
      <c r="F11" s="6">
        <f>'Con publicidad'!K28</f>
        <v/>
      </c>
      <c r="G11" s="6">
        <f>'Con publicidad'!L28</f>
        <v/>
      </c>
      <c r="H11" s="7">
        <f>G11-D11</f>
        <v/>
      </c>
    </row>
    <row r="14">
      <c r="A14" s="8" t="inlineStr">
        <is>
          <t>Cómo leerlo</t>
        </is>
      </c>
    </row>
    <row r="15" ht="30" customHeight="1">
      <c r="A15" s="9" t="inlineStr">
        <is>
          <t>· La publicidad da vuelta rápido con estos supuestos: el mes 1 cierra en pérdida (unos US$ 50 abajo), pero al mes 3 el acumulado ya es positivo y al mes 24 la diferencia contra no invertir ronda los US$ 35.000. Eso pasa porque un cliente que cuesta US$ 90 y deja US$ 57 por mes se paga solo en dos meses.</t>
        </is>
      </c>
    </row>
    <row r="16" ht="30" customHeight="1">
      <c r="A16" s="9" t="inlineStr">
        <is>
          <t>· Ese resultado depende por completo de un número que todavía NO medimos: los US$ 90 por cliente. Es el supuesto más frágil de todo el modelo. Si en la práctica te sale US$ 250 —perfectamente posible con un producto sin marca conocida— la publicidad pasa a perder plata y el escenario sin ads gana. Antes de subir el gasto, gastá US$ 300 y medí cuántas ventas salieron: recién ahí este número deja de ser una apuesta.</t>
        </is>
      </c>
    </row>
    <row r="17" ht="30" customHeight="1">
      <c r="A17" s="9" t="inlineStr">
        <is>
          <t>· La permanencia pesa más que el precio. Bajar las bajas del 5% al 3% mensual sube el acumulado de 24 meses más que subir el precio un 20%, y no espanta a nadie.</t>
        </is>
      </c>
    </row>
    <row r="18" ht="30" customHeight="1">
      <c r="A18" s="9" t="inlineStr">
        <is>
          <t>· El plan Empresa es el que mueve la aguja: al costar más del triple, cada punto de mezcla que se corra hacia Empresa vale mucho más que un cliente nuevo de Profesional.</t>
        </is>
      </c>
    </row>
    <row r="19" ht="30" customHeight="1">
      <c r="A19" s="9" t="inlineStr">
        <is>
          <t>· Esto es un modelo, no una promesa. El supuesto más frágil es «3 clientes nuevos por mes sin publicidad»: hasta que no haya un mes real con ventas, es una apuesta.</t>
        </is>
      </c>
    </row>
  </sheetData>
  <mergeCells count="5">
    <mergeCell ref="A18:H18"/>
    <mergeCell ref="A15:H15"/>
    <mergeCell ref="A16:H16"/>
    <mergeCell ref="A19:H19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68" customWidth="1" min="3" max="3"/>
    <col width="62" customWidth="1" min="4" max="4"/>
  </cols>
  <sheetData>
    <row r="1">
      <c r="A1" s="1" t="inlineStr">
        <is>
          <t>Calificación del producto, del 1 al 10</t>
        </is>
      </c>
    </row>
    <row r="2">
      <c r="A2" s="2" t="inlineStr">
        <is>
          <t>Nota puesta contra lo que hoy está funcionando y probado, no contra lo que está planeado. La columna «qué falta» es lo que hay que hacer para subir cada nota, en orden de impacto.</t>
        </is>
      </c>
    </row>
    <row r="4" ht="30" customHeight="1">
      <c r="A4" s="3" t="inlineStr">
        <is>
          <t>Etapa</t>
        </is>
      </c>
      <c r="B4" s="3" t="inlineStr">
        <is>
          <t>Nota</t>
        </is>
      </c>
      <c r="C4" s="3" t="inlineStr">
        <is>
          <t>Por qué esa nota</t>
        </is>
      </c>
      <c r="D4" s="3" t="inlineStr">
        <is>
          <t>Qué falta para subirla</t>
        </is>
      </c>
    </row>
    <row r="5" ht="78" customHeight="1">
      <c r="A5" s="4" t="inlineStr">
        <is>
          <t>Funcionalidad (motor de ML y ETL)</t>
        </is>
      </c>
      <c r="B5" s="10" t="n">
        <v>8.5</v>
      </c>
      <c r="C5" s="11" t="inlineStr">
        <is>
          <t>DuckDB fuera de memoria sobre Parquet, tres ventanas de validación con holdout ciego, auditoría de fuga, calibración isotónica y smearing de Duan, SHAP con dirección por categoría, importancia por permutación, texto con TF-IDF, tableros con KPI automáticos y comparación contra mes anterior / año anterior / acumulado.</t>
        </is>
      </c>
      <c r="D5" s="11" t="inlineStr">
        <is>
          <t>Series de tiempo con estacionalidad, multiclase con más de 10 clases y un modo de reentrenamiento programado. Nada de eso está hoy.</t>
        </is>
      </c>
    </row>
    <row r="6" ht="78" customHeight="1">
      <c r="A6" s="4" t="inlineStr">
        <is>
          <t>Pruebas y calidad</t>
        </is>
      </c>
      <c r="B6" s="10" t="n">
        <v>8.5</v>
      </c>
      <c r="C6" s="11" t="inlineStr">
        <is>
          <t>La suite corre en cada integración e incluye lo que casi nadie prueba: el .exe compilado se ejecuta de verdad en Windows (sube un archivo, entrena, calcula SHAP), y la firma del servidor web se cruza contra el verificador del programa. Cuatro errores reales los cazó el CI antes que un cliente.</t>
        </is>
      </c>
      <c r="D6" s="11" t="inlineStr">
        <is>
          <t>Falta prueba de interfaz de punta a punta (Playwright) y una prueba de carga con un dataset de varios GB.</t>
        </is>
      </c>
    </row>
    <row r="7" ht="78" customHeight="1">
      <c r="A7" s="4" t="inlineStr">
        <is>
          <t>Seguridad</t>
        </is>
      </c>
      <c r="B7" s="12" t="n">
        <v>7.5</v>
      </c>
      <c r="C7" s="11" t="inlineStr">
        <is>
          <t>Licencias firmadas con Ed25519 y clave privada fuera del repositorio; token de API obligatorio en el backend local; conectores SQL de sólo lectura con barrera endurecida (sin comentarios ni literales antes de analizar, una sola sentencia, lista negra); precios del lado del servidor; el webhook de pago no le cree al aviso y consulta el estado real.</t>
        </is>
      </c>
      <c r="D7" s="11" t="inlineStr">
        <is>
          <t>El instalador no está firmado digitalmente: Windows SmartScreen va a mostrar una advertencia hasta juntar reputación (un certificado EV cuesta entre US$ 250 y 400 al año). Falta límite de intentos en las funciones del sitio, y el panel se protege con una sola contraseña sin segundo factor. El repositorio todavía es público, aunque el instalador ya no.</t>
        </is>
      </c>
    </row>
    <row r="8" ht="78" customHeight="1">
      <c r="A8" s="4" t="inlineStr">
        <is>
          <t>Distribución e instalación</t>
        </is>
      </c>
      <c r="B8" s="12" t="n">
        <v>7</v>
      </c>
      <c r="C8" s="11" t="inlineStr">
        <is>
          <t>Instalador NSIS asistido: el usuario elige el disco y la carpeta, no se clava en C:. Crea acceso directo en Escritorio y Menú de inicio, deja desinstalador registrado, e instala por usuario sin pedir permisos de administrador. Se compila solo en cada integración y publica dos versiones, las dos en releases privados: la del cliente, que entrega el sitio sólo contra una licencia válida, y la de dueño.</t>
        </is>
      </c>
      <c r="D8" s="11" t="inlineStr">
        <is>
          <t>Sin firma digital, sin actualización automática dentro del programa y sin versión para macOS ni Linux. El instalador pesa 375 MB y ocupa cerca de 1,6 GB una vez instalado, por las bibliotecas de ML.</t>
        </is>
      </c>
    </row>
    <row r="9" ht="78" customHeight="1">
      <c r="A9" s="4" t="inlineStr">
        <is>
          <t>Diseño del producto</t>
        </is>
      </c>
      <c r="B9" s="12" t="n">
        <v>7.5</v>
      </c>
      <c r="C9" s="11" t="inlineStr">
        <is>
          <t>Interfaz coherente en tres idiomas, tableros con filtros, tablas y gráficos interactivos exportables a Excel y CSV, KPI detectados solos, mapa de correlaciones y SHAP legibles, espacio de preguntas en lenguaje natural sobre el dataset.</t>
        </is>
      </c>
      <c r="D9" s="11" t="inlineStr">
        <is>
          <t>Falta una primera pantalla que guíe al que abre el programa por primera vez, plantillas por rubro (cobranzas, ventas, rotación) y un modo presentación para mostrarle el resultado a un gerente.</t>
        </is>
      </c>
    </row>
    <row r="10" ht="78" customHeight="1">
      <c r="A10" s="4" t="inlineStr">
        <is>
          <t>Web de venta</t>
        </is>
      </c>
      <c r="B10" s="12" t="n">
        <v>7.5</v>
      </c>
      <c r="C10" s="11" t="inlineStr">
        <is>
          <t>Sitio en tres idiomas con video narrado por idioma, precios claros, cobro con MercadoPago del lado del servidor y formulario de pedido de demo que llega por correo. El instalador no se regala: se muestra en vivo y se entrega contra licencia, así que cada interesado deja nombre, empresa y correo en vez de bajar el producto y desaparecer. Todo estático: carga rápido y no cuesta nada mantenerlo.</t>
        </is>
      </c>
      <c r="D10" s="11" t="inlineStr">
        <is>
          <t>No hay dominio propio, ni prueba social (casos, logos, testimonios), ni contenido para buscadores, ni medición de visitas. Y el pedido de demo agrega fricción: convierte menos visitantes en pruebas, a cambio de que las pruebas valgan más. Hay que mirar cuántos pedidos entran por mes antes de dar por buena esa apuesta.</t>
        </is>
      </c>
    </row>
    <row r="11" ht="78" customHeight="1">
      <c r="A11" s="4" t="inlineStr">
        <is>
          <t>Rentabilidad demostrada</t>
        </is>
      </c>
      <c r="B11" s="13" t="n">
        <v>5</v>
      </c>
      <c r="C11" s="11" t="inlineStr">
        <is>
          <t>El circuito de cobro está armado y probado de punta a punta: se paga, se emite la licencia, el programa la acepta. El panel muestra clientes, ingresos netos y descargas en vivo. Los costos fijos son casi cero.</t>
        </is>
      </c>
      <c r="D11" s="11" t="inlineStr">
        <is>
          <t>Cero clientes, cero facturación y ningún canal de captación andando. El producto puede cobrar; todavía no cobró. Esta nota sube sola con las primeras diez ventas.</t>
        </is>
      </c>
    </row>
    <row r="13" ht="78" customHeight="1">
      <c r="A13" s="14" t="inlineStr">
        <is>
          <t>GENERAL</t>
        </is>
      </c>
      <c r="B13" s="15" t="n">
        <v>7.4</v>
      </c>
      <c r="C13" s="9" t="inlineStr">
        <is>
          <t>Producto técnicamente sólido y ya vendible, con la parte comercial sin estrenar. El motor de ML y las pruebas están por encima del promedio de lo que se vende a este precio; lo que baja el promedio es todo lo que rodea a la venta: dominio, firma del instalador, prueba social y captación.</t>
        </is>
      </c>
      <c r="D13" s="9" t="inlineStr">
        <is>
          <t>Tres cosas, en este orden: (1) las primeras diez ventas, aunque sean a conocidos; (2) dominio propio y certificado de firma; (3) tres casos reales publicados con números. Con eso la nota general va a 8,5.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66" customWidth="1" min="4" max="4"/>
  </cols>
  <sheetData>
    <row r="1">
      <c r="A1" s="1" t="inlineStr">
        <is>
          <t>Supuestos del modelo</t>
        </is>
      </c>
    </row>
    <row r="2">
      <c r="A2" s="2" t="inlineStr">
        <is>
          <t>Todo lo de esta hoja es editable. Las hojas de rentabilidad lo referencian con fórmulas: si cambiás un número acá, los 24 meses se recalculan solos.</t>
        </is>
      </c>
    </row>
    <row r="4" ht="30" customHeight="1">
      <c r="A4" s="3" t="inlineStr">
        <is>
          <t>Concepto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De dónde sale</t>
        </is>
      </c>
    </row>
    <row r="5">
      <c r="A5" s="16" t="inlineStr">
        <is>
          <t>PRECIOS Y MEZCLA</t>
        </is>
      </c>
      <c r="B5" s="17" t="n"/>
      <c r="C5" s="17" t="n"/>
      <c r="D5" s="17" t="n"/>
    </row>
    <row r="6" ht="30" customHeight="1">
      <c r="A6" t="inlineStr">
        <is>
          <t>Precio Profesional mensual</t>
        </is>
      </c>
      <c r="B6" s="18" t="n">
        <v>39</v>
      </c>
      <c r="C6" t="inlineStr">
        <is>
          <t>US$</t>
        </is>
      </c>
      <c r="D6" s="9" t="inlineStr">
        <is>
          <t>El del sitio hoy</t>
        </is>
      </c>
    </row>
    <row r="7" ht="30" customHeight="1">
      <c r="A7" t="inlineStr">
        <is>
          <t>Precio Empresa mensual</t>
        </is>
      </c>
      <c r="B7" s="18" t="n">
        <v>129</v>
      </c>
      <c r="C7" t="inlineStr">
        <is>
          <t>US$</t>
        </is>
      </c>
      <c r="D7" s="9" t="inlineStr">
        <is>
          <t>El del sitio hoy</t>
        </is>
      </c>
    </row>
    <row r="8" ht="30" customHeight="1">
      <c r="A8" t="inlineStr">
        <is>
          <t>Proporción de clientes en Empresa</t>
        </is>
      </c>
      <c r="B8" s="19" t="n">
        <v>0.2</v>
      </c>
      <c r="C8" t="inlineStr"/>
      <c r="D8" s="9" t="inlineStr">
        <is>
          <t>1 de cada 5 compra el plan caro</t>
        </is>
      </c>
    </row>
    <row r="9" ht="30" customHeight="1">
      <c r="A9" t="inlineStr">
        <is>
          <t>Ingreso medio por cliente y mes</t>
        </is>
      </c>
      <c r="B9" s="20">
        <f>B6*(1-B8)+B7*B8</f>
        <v/>
      </c>
      <c r="C9" t="inlineStr">
        <is>
          <t>US$</t>
        </is>
      </c>
      <c r="D9" s="9" t="inlineStr">
        <is>
          <t>Se calcula solo</t>
        </is>
      </c>
    </row>
    <row r="11">
      <c r="A11" s="16" t="inlineStr">
        <is>
          <t>COBRO E IMPUESTOS</t>
        </is>
      </c>
      <c r="B11" s="17" t="n"/>
      <c r="C11" s="17" t="n"/>
      <c r="D11" s="17" t="n"/>
    </row>
    <row r="12" ht="30" customHeight="1">
      <c r="A12" t="inlineStr">
        <is>
          <t>Comisión de MercadoPago</t>
        </is>
      </c>
      <c r="B12" s="19" t="n">
        <v>0.0629</v>
      </c>
      <c r="C12" t="inlineStr"/>
      <c r="D12" s="9" t="inlineStr">
        <is>
          <t>Checkout Pro con acreditación inmediata. El número real lo vas a ver en el panel, en la diferencia entre bruto y neto</t>
        </is>
      </c>
    </row>
    <row r="13" ht="30" customHeight="1">
      <c r="A13" t="inlineStr">
        <is>
          <t>Tasa efectiva de impuestos</t>
        </is>
      </c>
      <c r="B13" s="19" t="n">
        <v>0.12</v>
      </c>
      <c r="C13" t="inlineStr"/>
      <c r="D13" s="9" t="inlineStr">
        <is>
          <t>Ver la hoja «Impuestos Uruguay»: 12% es el escenario intermedio, exportando servicios y con exoneración parcial de IRAE</t>
        </is>
      </c>
    </row>
    <row r="15">
      <c r="A15" s="16" t="inlineStr">
        <is>
          <t>CRECIMIENTO Y PERMANENCIA</t>
        </is>
      </c>
      <c r="B15" s="17" t="n"/>
      <c r="C15" s="17" t="n"/>
      <c r="D15" s="17" t="n"/>
    </row>
    <row r="16" ht="30" customHeight="1">
      <c r="A16" t="inlineStr">
        <is>
          <t>Clientes nuevos por mes sin publicidad</t>
        </is>
      </c>
      <c r="B16" s="18" t="n">
        <v>3</v>
      </c>
      <c r="C16" t="inlineStr">
        <is>
          <t>clientes</t>
        </is>
      </c>
      <c r="D16" s="9" t="inlineStr">
        <is>
          <t>Boca a boca, red propia y quien llega al sitio por su cuenta</t>
        </is>
      </c>
    </row>
    <row r="17" ht="30" customHeight="1">
      <c r="A17" t="inlineStr">
        <is>
          <t>Crecimiento mensual de ese número</t>
        </is>
      </c>
      <c r="B17" s="19" t="n">
        <v>0.08</v>
      </c>
      <c r="C17" t="inlineStr"/>
      <c r="D17" s="9" t="inlineStr">
        <is>
          <t>8% más cada mes: llegan más porque hay más clientes hablando del producto</t>
        </is>
      </c>
    </row>
    <row r="18" ht="30" customHeight="1">
      <c r="A18" t="inlineStr">
        <is>
          <t>Bajas mensuales</t>
        </is>
      </c>
      <c r="B18" s="19" t="n">
        <v>0.05</v>
      </c>
      <c r="C18" t="inlineStr"/>
      <c r="D18" s="9" t="inlineStr">
        <is>
          <t>5% de los activos se va cada mes. En software para empresas chicas es una cifra normal</t>
        </is>
      </c>
    </row>
    <row r="20">
      <c r="A20" s="16" t="inlineStr">
        <is>
          <t>PUBLICIDAD</t>
        </is>
      </c>
      <c r="B20" s="17" t="n"/>
      <c r="C20" s="17" t="n"/>
      <c r="D20" s="17" t="n"/>
    </row>
    <row r="21" ht="30" customHeight="1">
      <c r="A21" t="inlineStr">
        <is>
          <t>Gasto mensual en publicidad</t>
        </is>
      </c>
      <c r="B21" s="18" t="n">
        <v>400</v>
      </c>
      <c r="C21" t="inlineStr">
        <is>
          <t>US$</t>
        </is>
      </c>
      <c r="D21" s="9" t="inlineStr">
        <is>
          <t>Escenario con inversión</t>
        </is>
      </c>
    </row>
    <row r="22" ht="30" customHeight="1">
      <c r="A22" t="inlineStr">
        <is>
          <t>Costo de conseguir un cliente</t>
        </is>
      </c>
      <c r="B22" s="18" t="n">
        <v>90</v>
      </c>
      <c r="C22" t="inlineStr">
        <is>
          <t>US$</t>
        </is>
      </c>
      <c r="D22" s="9" t="inlineStr">
        <is>
          <t>Lo que cuesta cada venta pagada. Con producto sin marca conocida, en LATAM, es un supuesto prudente</t>
        </is>
      </c>
    </row>
    <row r="24">
      <c r="A24" s="16" t="inlineStr">
        <is>
          <t>COSTOS FIJOS</t>
        </is>
      </c>
      <c r="B24" s="17" t="n"/>
      <c r="C24" s="17" t="n"/>
      <c r="D24" s="17" t="n"/>
    </row>
    <row r="25" ht="30" customHeight="1">
      <c r="A25" t="inlineStr">
        <is>
          <t>Vercel Pro</t>
        </is>
      </c>
      <c r="B25" s="18" t="n">
        <v>20</v>
      </c>
      <c r="C25" t="inlineStr">
        <is>
          <t>US$/mes</t>
        </is>
      </c>
      <c r="D25" s="9" t="inlineStr">
        <is>
          <t>Obligatorio en cuanto el sitio cobre: el plan gratuito es sólo para proyectos sin fines comerciales</t>
        </is>
      </c>
    </row>
    <row r="26" ht="30" customHeight="1">
      <c r="A26" t="inlineStr">
        <is>
          <t>Dominio</t>
        </is>
      </c>
      <c r="B26" s="18" t="n">
        <v>2.5</v>
      </c>
      <c r="C26" t="inlineStr">
        <is>
          <t>US$/mes</t>
        </is>
      </c>
      <c r="D26" s="9" t="inlineStr">
        <is>
          <t>US$ 30 al año, prorrateado</t>
        </is>
      </c>
    </row>
    <row r="27" ht="30" customHeight="1">
      <c r="A27" t="inlineStr">
        <is>
          <t>Correo (Resend)</t>
        </is>
      </c>
      <c r="B27" s="18" t="n">
        <v>0</v>
      </c>
      <c r="C27" t="inlineStr">
        <is>
          <t>US$/mes</t>
        </is>
      </c>
      <c r="D27" s="9" t="inlineStr">
        <is>
          <t>Gratis hasta 3.000 correos por mes</t>
        </is>
      </c>
    </row>
    <row r="28" ht="30" customHeight="1">
      <c r="A28" t="inlineStr">
        <is>
          <t>Firma digital del instalador</t>
        </is>
      </c>
      <c r="B28" s="18" t="n">
        <v>27</v>
      </c>
      <c r="C28" t="inlineStr">
        <is>
          <t>US$/mes</t>
        </is>
      </c>
      <c r="D28" s="9" t="inlineStr">
        <is>
          <t>Certificado de firma de código: unos US$ 320 al año. Sin esto Windows muestra una advertencia al instalar</t>
        </is>
      </c>
    </row>
    <row r="29" ht="30" customHeight="1">
      <c r="A29" t="inlineStr">
        <is>
          <t>Costo fijo total</t>
        </is>
      </c>
      <c r="B29" s="20">
        <f>SUM(B25:B28)</f>
        <v/>
      </c>
      <c r="C29" t="inlineStr">
        <is>
          <t>US$/mes</t>
        </is>
      </c>
      <c r="D29" s="9" t="inlineStr">
        <is>
          <t>Se calcula solo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9" customWidth="1" min="3" max="3"/>
    <col width="14" customWidth="1" min="4" max="4"/>
    <col width="15" customWidth="1" min="5" max="5"/>
    <col width="17" customWidth="1" min="6" max="6"/>
    <col width="12" customWidth="1" min="7" max="7"/>
    <col width="21" customWidth="1" min="8" max="8"/>
    <col width="12" customWidth="1" min="9" max="9"/>
    <col width="18" customWidth="1" min="10" max="10"/>
    <col width="14" customWidth="1" min="11" max="11"/>
  </cols>
  <sheetData>
    <row r="1">
      <c r="A1" s="1" t="inlineStr">
        <is>
          <t>Rentabilidad neta mes a mes — sin inversión en publicidad</t>
        </is>
      </c>
    </row>
    <row r="2">
      <c r="A2" s="2" t="inlineStr">
        <is>
          <t>Todas las cifras en dólares. «Neto» es lo que queda después de la comisión de MercadoPago, los costos fijos, la publicidad y los impuestos. Las filas de los meses 1, 3, 6, 9, 12, 18 y 24 están resaltadas.</t>
        </is>
      </c>
    </row>
    <row r="4" ht="30" customHeight="1">
      <c r="A4" s="3" t="inlineStr">
        <is>
          <t>Mes</t>
        </is>
      </c>
      <c r="B4" s="3" t="inlineStr">
        <is>
          <t>Clientes nuevos</t>
        </is>
      </c>
      <c r="C4" s="3" t="inlineStr">
        <is>
          <t>Bajas</t>
        </is>
      </c>
      <c r="D4" s="3" t="inlineStr">
        <is>
          <t>Clientes activos</t>
        </is>
      </c>
      <c r="E4" s="3" t="inlineStr">
        <is>
          <t>Facturación bruta</t>
        </is>
      </c>
      <c r="F4" s="3" t="inlineStr">
        <is>
          <t>Comisión MercadoPago</t>
        </is>
      </c>
      <c r="G4" s="3" t="inlineStr">
        <is>
          <t>Costos fijos</t>
        </is>
      </c>
      <c r="H4" s="3" t="inlineStr">
        <is>
          <t>Resultado antes de impuestos</t>
        </is>
      </c>
      <c r="I4" s="3" t="inlineStr">
        <is>
          <t>Impuestos</t>
        </is>
      </c>
      <c r="J4" s="3" t="inlineStr">
        <is>
          <t>RENTABILIDAD NETA</t>
        </is>
      </c>
      <c r="K4" s="3" t="inlineStr">
        <is>
          <t>Acumulado</t>
        </is>
      </c>
    </row>
    <row r="5">
      <c r="A5" s="17" t="n">
        <v>1</v>
      </c>
      <c r="B5" s="21">
        <f>Supuestos!$B$16</f>
        <v/>
      </c>
      <c r="C5" s="21" t="n">
        <v>0</v>
      </c>
      <c r="D5" s="21">
        <f>B5</f>
        <v/>
      </c>
      <c r="E5" s="22">
        <f>D5*Supuestos!$B$9</f>
        <v/>
      </c>
      <c r="F5" s="22">
        <f>-E5*Supuestos!$B$12</f>
        <v/>
      </c>
      <c r="G5" s="22">
        <f>-Supuestos!$B$29</f>
        <v/>
      </c>
      <c r="H5" s="22">
        <f>E5+F5+G5</f>
        <v/>
      </c>
      <c r="I5" s="22">
        <f>-MAX(0,H5)*Supuestos!$B$13</f>
        <v/>
      </c>
      <c r="J5" s="23">
        <f>H5+I5</f>
        <v/>
      </c>
      <c r="K5" s="22">
        <f>J5</f>
        <v/>
      </c>
    </row>
    <row r="6">
      <c r="A6" t="n">
        <v>2</v>
      </c>
      <c r="B6" s="24">
        <f>B5*(1+Supuestos!$B$17)</f>
        <v/>
      </c>
      <c r="C6" s="24">
        <f>D5*Supuestos!$B$18</f>
        <v/>
      </c>
      <c r="D6" s="24">
        <f>D5+B6-C6</f>
        <v/>
      </c>
      <c r="E6" s="25">
        <f>D6*Supuestos!$B$9</f>
        <v/>
      </c>
      <c r="F6" s="25">
        <f>-E6*Supuestos!$B$12</f>
        <v/>
      </c>
      <c r="G6" s="25">
        <f>-Supuestos!$B$29</f>
        <v/>
      </c>
      <c r="H6" s="25">
        <f>E6+F6+G6</f>
        <v/>
      </c>
      <c r="I6" s="25">
        <f>-MAX(0,H6)*Supuestos!$B$13</f>
        <v/>
      </c>
      <c r="J6" s="26">
        <f>H6+I6</f>
        <v/>
      </c>
      <c r="K6" s="25">
        <f>K5+J6</f>
        <v/>
      </c>
    </row>
    <row r="7">
      <c r="A7" s="17" t="n">
        <v>3</v>
      </c>
      <c r="B7" s="21">
        <f>B6*(1+Supuestos!$B$17)</f>
        <v/>
      </c>
      <c r="C7" s="21">
        <f>D6*Supuestos!$B$18</f>
        <v/>
      </c>
      <c r="D7" s="21">
        <f>D6+B7-C7</f>
        <v/>
      </c>
      <c r="E7" s="22">
        <f>D7*Supuestos!$B$9</f>
        <v/>
      </c>
      <c r="F7" s="22">
        <f>-E7*Supuestos!$B$12</f>
        <v/>
      </c>
      <c r="G7" s="22">
        <f>-Supuestos!$B$29</f>
        <v/>
      </c>
      <c r="H7" s="22">
        <f>E7+F7+G7</f>
        <v/>
      </c>
      <c r="I7" s="22">
        <f>-MAX(0,H7)*Supuestos!$B$13</f>
        <v/>
      </c>
      <c r="J7" s="23">
        <f>H7+I7</f>
        <v/>
      </c>
      <c r="K7" s="22">
        <f>K6+J7</f>
        <v/>
      </c>
    </row>
    <row r="8">
      <c r="A8" t="n">
        <v>4</v>
      </c>
      <c r="B8" s="24">
        <f>B7*(1+Supuestos!$B$17)</f>
        <v/>
      </c>
      <c r="C8" s="24">
        <f>D7*Supuestos!$B$18</f>
        <v/>
      </c>
      <c r="D8" s="24">
        <f>D7+B8-C8</f>
        <v/>
      </c>
      <c r="E8" s="25">
        <f>D8*Supuestos!$B$9</f>
        <v/>
      </c>
      <c r="F8" s="25">
        <f>-E8*Supuestos!$B$12</f>
        <v/>
      </c>
      <c r="G8" s="25">
        <f>-Supuestos!$B$29</f>
        <v/>
      </c>
      <c r="H8" s="25">
        <f>E8+F8+G8</f>
        <v/>
      </c>
      <c r="I8" s="25">
        <f>-MAX(0,H8)*Supuestos!$B$13</f>
        <v/>
      </c>
      <c r="J8" s="26">
        <f>H8+I8</f>
        <v/>
      </c>
      <c r="K8" s="25">
        <f>K7+J8</f>
        <v/>
      </c>
    </row>
    <row r="9">
      <c r="A9" t="n">
        <v>5</v>
      </c>
      <c r="B9" s="24">
        <f>B8*(1+Supuestos!$B$17)</f>
        <v/>
      </c>
      <c r="C9" s="24">
        <f>D8*Supuestos!$B$18</f>
        <v/>
      </c>
      <c r="D9" s="24">
        <f>D8+B9-C9</f>
        <v/>
      </c>
      <c r="E9" s="25">
        <f>D9*Supuestos!$B$9</f>
        <v/>
      </c>
      <c r="F9" s="25">
        <f>-E9*Supuestos!$B$12</f>
        <v/>
      </c>
      <c r="G9" s="25">
        <f>-Supuestos!$B$29</f>
        <v/>
      </c>
      <c r="H9" s="25">
        <f>E9+F9+G9</f>
        <v/>
      </c>
      <c r="I9" s="25">
        <f>-MAX(0,H9)*Supuestos!$B$13</f>
        <v/>
      </c>
      <c r="J9" s="26">
        <f>H9+I9</f>
        <v/>
      </c>
      <c r="K9" s="25">
        <f>K8+J9</f>
        <v/>
      </c>
    </row>
    <row r="10">
      <c r="A10" s="17" t="n">
        <v>6</v>
      </c>
      <c r="B10" s="21">
        <f>B9*(1+Supuestos!$B$17)</f>
        <v/>
      </c>
      <c r="C10" s="21">
        <f>D9*Supuestos!$B$18</f>
        <v/>
      </c>
      <c r="D10" s="21">
        <f>D9+B10-C10</f>
        <v/>
      </c>
      <c r="E10" s="22">
        <f>D10*Supuestos!$B$9</f>
        <v/>
      </c>
      <c r="F10" s="22">
        <f>-E10*Supuestos!$B$12</f>
        <v/>
      </c>
      <c r="G10" s="22">
        <f>-Supuestos!$B$29</f>
        <v/>
      </c>
      <c r="H10" s="22">
        <f>E10+F10+G10</f>
        <v/>
      </c>
      <c r="I10" s="22">
        <f>-MAX(0,H10)*Supuestos!$B$13</f>
        <v/>
      </c>
      <c r="J10" s="23">
        <f>H10+I10</f>
        <v/>
      </c>
      <c r="K10" s="22">
        <f>K9+J10</f>
        <v/>
      </c>
    </row>
    <row r="11">
      <c r="A11" t="n">
        <v>7</v>
      </c>
      <c r="B11" s="24">
        <f>B10*(1+Supuestos!$B$17)</f>
        <v/>
      </c>
      <c r="C11" s="24">
        <f>D10*Supuestos!$B$18</f>
        <v/>
      </c>
      <c r="D11" s="24">
        <f>D10+B11-C11</f>
        <v/>
      </c>
      <c r="E11" s="25">
        <f>D11*Supuestos!$B$9</f>
        <v/>
      </c>
      <c r="F11" s="25">
        <f>-E11*Supuestos!$B$12</f>
        <v/>
      </c>
      <c r="G11" s="25">
        <f>-Supuestos!$B$29</f>
        <v/>
      </c>
      <c r="H11" s="25">
        <f>E11+F11+G11</f>
        <v/>
      </c>
      <c r="I11" s="25">
        <f>-MAX(0,H11)*Supuestos!$B$13</f>
        <v/>
      </c>
      <c r="J11" s="26">
        <f>H11+I11</f>
        <v/>
      </c>
      <c r="K11" s="25">
        <f>K10+J11</f>
        <v/>
      </c>
    </row>
    <row r="12">
      <c r="A12" t="n">
        <v>8</v>
      </c>
      <c r="B12" s="24">
        <f>B11*(1+Supuestos!$B$17)</f>
        <v/>
      </c>
      <c r="C12" s="24">
        <f>D11*Supuestos!$B$18</f>
        <v/>
      </c>
      <c r="D12" s="24">
        <f>D11+B12-C12</f>
        <v/>
      </c>
      <c r="E12" s="25">
        <f>D12*Supuestos!$B$9</f>
        <v/>
      </c>
      <c r="F12" s="25">
        <f>-E12*Supuestos!$B$12</f>
        <v/>
      </c>
      <c r="G12" s="25">
        <f>-Supuestos!$B$29</f>
        <v/>
      </c>
      <c r="H12" s="25">
        <f>E12+F12+G12</f>
        <v/>
      </c>
      <c r="I12" s="25">
        <f>-MAX(0,H12)*Supuestos!$B$13</f>
        <v/>
      </c>
      <c r="J12" s="26">
        <f>H12+I12</f>
        <v/>
      </c>
      <c r="K12" s="25">
        <f>K11+J12</f>
        <v/>
      </c>
    </row>
    <row r="13">
      <c r="A13" s="17" t="n">
        <v>9</v>
      </c>
      <c r="B13" s="21">
        <f>B12*(1+Supuestos!$B$17)</f>
        <v/>
      </c>
      <c r="C13" s="21">
        <f>D12*Supuestos!$B$18</f>
        <v/>
      </c>
      <c r="D13" s="21">
        <f>D12+B13-C13</f>
        <v/>
      </c>
      <c r="E13" s="22">
        <f>D13*Supuestos!$B$9</f>
        <v/>
      </c>
      <c r="F13" s="22">
        <f>-E13*Supuestos!$B$12</f>
        <v/>
      </c>
      <c r="G13" s="22">
        <f>-Supuestos!$B$29</f>
        <v/>
      </c>
      <c r="H13" s="22">
        <f>E13+F13+G13</f>
        <v/>
      </c>
      <c r="I13" s="22">
        <f>-MAX(0,H13)*Supuestos!$B$13</f>
        <v/>
      </c>
      <c r="J13" s="23">
        <f>H13+I13</f>
        <v/>
      </c>
      <c r="K13" s="22">
        <f>K12+J13</f>
        <v/>
      </c>
    </row>
    <row r="14">
      <c r="A14" t="n">
        <v>10</v>
      </c>
      <c r="B14" s="24">
        <f>B13*(1+Supuestos!$B$17)</f>
        <v/>
      </c>
      <c r="C14" s="24">
        <f>D13*Supuestos!$B$18</f>
        <v/>
      </c>
      <c r="D14" s="24">
        <f>D13+B14-C14</f>
        <v/>
      </c>
      <c r="E14" s="25">
        <f>D14*Supuestos!$B$9</f>
        <v/>
      </c>
      <c r="F14" s="25">
        <f>-E14*Supuestos!$B$12</f>
        <v/>
      </c>
      <c r="G14" s="25">
        <f>-Supuestos!$B$29</f>
        <v/>
      </c>
      <c r="H14" s="25">
        <f>E14+F14+G14</f>
        <v/>
      </c>
      <c r="I14" s="25">
        <f>-MAX(0,H14)*Supuestos!$B$13</f>
        <v/>
      </c>
      <c r="J14" s="26">
        <f>H14+I14</f>
        <v/>
      </c>
      <c r="K14" s="25">
        <f>K13+J14</f>
        <v/>
      </c>
    </row>
    <row r="15">
      <c r="A15" t="n">
        <v>11</v>
      </c>
      <c r="B15" s="24">
        <f>B14*(1+Supuestos!$B$17)</f>
        <v/>
      </c>
      <c r="C15" s="24">
        <f>D14*Supuestos!$B$18</f>
        <v/>
      </c>
      <c r="D15" s="24">
        <f>D14+B15-C15</f>
        <v/>
      </c>
      <c r="E15" s="25">
        <f>D15*Supuestos!$B$9</f>
        <v/>
      </c>
      <c r="F15" s="25">
        <f>-E15*Supuestos!$B$12</f>
        <v/>
      </c>
      <c r="G15" s="25">
        <f>-Supuestos!$B$29</f>
        <v/>
      </c>
      <c r="H15" s="25">
        <f>E15+F15+G15</f>
        <v/>
      </c>
      <c r="I15" s="25">
        <f>-MAX(0,H15)*Supuestos!$B$13</f>
        <v/>
      </c>
      <c r="J15" s="26">
        <f>H15+I15</f>
        <v/>
      </c>
      <c r="K15" s="25">
        <f>K14+J15</f>
        <v/>
      </c>
    </row>
    <row r="16">
      <c r="A16" s="17" t="n">
        <v>12</v>
      </c>
      <c r="B16" s="21">
        <f>B15*(1+Supuestos!$B$17)</f>
        <v/>
      </c>
      <c r="C16" s="21">
        <f>D15*Supuestos!$B$18</f>
        <v/>
      </c>
      <c r="D16" s="21">
        <f>D15+B16-C16</f>
        <v/>
      </c>
      <c r="E16" s="22">
        <f>D16*Supuestos!$B$9</f>
        <v/>
      </c>
      <c r="F16" s="22">
        <f>-E16*Supuestos!$B$12</f>
        <v/>
      </c>
      <c r="G16" s="22">
        <f>-Supuestos!$B$29</f>
        <v/>
      </c>
      <c r="H16" s="22">
        <f>E16+F16+G16</f>
        <v/>
      </c>
      <c r="I16" s="22">
        <f>-MAX(0,H16)*Supuestos!$B$13</f>
        <v/>
      </c>
      <c r="J16" s="23">
        <f>H16+I16</f>
        <v/>
      </c>
      <c r="K16" s="22">
        <f>K15+J16</f>
        <v/>
      </c>
    </row>
    <row r="17">
      <c r="A17" t="n">
        <v>13</v>
      </c>
      <c r="B17" s="24">
        <f>B16*(1+Supuestos!$B$17)</f>
        <v/>
      </c>
      <c r="C17" s="24">
        <f>D16*Supuestos!$B$18</f>
        <v/>
      </c>
      <c r="D17" s="24">
        <f>D16+B17-C17</f>
        <v/>
      </c>
      <c r="E17" s="25">
        <f>D17*Supuestos!$B$9</f>
        <v/>
      </c>
      <c r="F17" s="25">
        <f>-E17*Supuestos!$B$12</f>
        <v/>
      </c>
      <c r="G17" s="25">
        <f>-Supuestos!$B$29</f>
        <v/>
      </c>
      <c r="H17" s="25">
        <f>E17+F17+G17</f>
        <v/>
      </c>
      <c r="I17" s="25">
        <f>-MAX(0,H17)*Supuestos!$B$13</f>
        <v/>
      </c>
      <c r="J17" s="26">
        <f>H17+I17</f>
        <v/>
      </c>
      <c r="K17" s="25">
        <f>K16+J17</f>
        <v/>
      </c>
    </row>
    <row r="18">
      <c r="A18" t="n">
        <v>14</v>
      </c>
      <c r="B18" s="24">
        <f>B17*(1+Supuestos!$B$17)</f>
        <v/>
      </c>
      <c r="C18" s="24">
        <f>D17*Supuestos!$B$18</f>
        <v/>
      </c>
      <c r="D18" s="24">
        <f>D17+B18-C18</f>
        <v/>
      </c>
      <c r="E18" s="25">
        <f>D18*Supuestos!$B$9</f>
        <v/>
      </c>
      <c r="F18" s="25">
        <f>-E18*Supuestos!$B$12</f>
        <v/>
      </c>
      <c r="G18" s="25">
        <f>-Supuestos!$B$29</f>
        <v/>
      </c>
      <c r="H18" s="25">
        <f>E18+F18+G18</f>
        <v/>
      </c>
      <c r="I18" s="25">
        <f>-MAX(0,H18)*Supuestos!$B$13</f>
        <v/>
      </c>
      <c r="J18" s="26">
        <f>H18+I18</f>
        <v/>
      </c>
      <c r="K18" s="25">
        <f>K17+J18</f>
        <v/>
      </c>
    </row>
    <row r="19">
      <c r="A19" t="n">
        <v>15</v>
      </c>
      <c r="B19" s="24">
        <f>B18*(1+Supuestos!$B$17)</f>
        <v/>
      </c>
      <c r="C19" s="24">
        <f>D18*Supuestos!$B$18</f>
        <v/>
      </c>
      <c r="D19" s="24">
        <f>D18+B19-C19</f>
        <v/>
      </c>
      <c r="E19" s="25">
        <f>D19*Supuestos!$B$9</f>
        <v/>
      </c>
      <c r="F19" s="25">
        <f>-E19*Supuestos!$B$12</f>
        <v/>
      </c>
      <c r="G19" s="25">
        <f>-Supuestos!$B$29</f>
        <v/>
      </c>
      <c r="H19" s="25">
        <f>E19+F19+G19</f>
        <v/>
      </c>
      <c r="I19" s="25">
        <f>-MAX(0,H19)*Supuestos!$B$13</f>
        <v/>
      </c>
      <c r="J19" s="26">
        <f>H19+I19</f>
        <v/>
      </c>
      <c r="K19" s="25">
        <f>K18+J19</f>
        <v/>
      </c>
    </row>
    <row r="20">
      <c r="A20" t="n">
        <v>16</v>
      </c>
      <c r="B20" s="24">
        <f>B19*(1+Supuestos!$B$17)</f>
        <v/>
      </c>
      <c r="C20" s="24">
        <f>D19*Supuestos!$B$18</f>
        <v/>
      </c>
      <c r="D20" s="24">
        <f>D19+B20-C20</f>
        <v/>
      </c>
      <c r="E20" s="25">
        <f>D20*Supuestos!$B$9</f>
        <v/>
      </c>
      <c r="F20" s="25">
        <f>-E20*Supuestos!$B$12</f>
        <v/>
      </c>
      <c r="G20" s="25">
        <f>-Supuestos!$B$29</f>
        <v/>
      </c>
      <c r="H20" s="25">
        <f>E20+F20+G20</f>
        <v/>
      </c>
      <c r="I20" s="25">
        <f>-MAX(0,H20)*Supuestos!$B$13</f>
        <v/>
      </c>
      <c r="J20" s="26">
        <f>H20+I20</f>
        <v/>
      </c>
      <c r="K20" s="25">
        <f>K19+J20</f>
        <v/>
      </c>
    </row>
    <row r="21">
      <c r="A21" t="n">
        <v>17</v>
      </c>
      <c r="B21" s="24">
        <f>B20*(1+Supuestos!$B$17)</f>
        <v/>
      </c>
      <c r="C21" s="24">
        <f>D20*Supuestos!$B$18</f>
        <v/>
      </c>
      <c r="D21" s="24">
        <f>D20+B21-C21</f>
        <v/>
      </c>
      <c r="E21" s="25">
        <f>D21*Supuestos!$B$9</f>
        <v/>
      </c>
      <c r="F21" s="25">
        <f>-E21*Supuestos!$B$12</f>
        <v/>
      </c>
      <c r="G21" s="25">
        <f>-Supuestos!$B$29</f>
        <v/>
      </c>
      <c r="H21" s="25">
        <f>E21+F21+G21</f>
        <v/>
      </c>
      <c r="I21" s="25">
        <f>-MAX(0,H21)*Supuestos!$B$13</f>
        <v/>
      </c>
      <c r="J21" s="26">
        <f>H21+I21</f>
        <v/>
      </c>
      <c r="K21" s="25">
        <f>K20+J21</f>
        <v/>
      </c>
    </row>
    <row r="22">
      <c r="A22" s="17" t="n">
        <v>18</v>
      </c>
      <c r="B22" s="21">
        <f>B21*(1+Supuestos!$B$17)</f>
        <v/>
      </c>
      <c r="C22" s="21">
        <f>D21*Supuestos!$B$18</f>
        <v/>
      </c>
      <c r="D22" s="21">
        <f>D21+B22-C22</f>
        <v/>
      </c>
      <c r="E22" s="22">
        <f>D22*Supuestos!$B$9</f>
        <v/>
      </c>
      <c r="F22" s="22">
        <f>-E22*Supuestos!$B$12</f>
        <v/>
      </c>
      <c r="G22" s="22">
        <f>-Supuestos!$B$29</f>
        <v/>
      </c>
      <c r="H22" s="22">
        <f>E22+F22+G22</f>
        <v/>
      </c>
      <c r="I22" s="22">
        <f>-MAX(0,H22)*Supuestos!$B$13</f>
        <v/>
      </c>
      <c r="J22" s="23">
        <f>H22+I22</f>
        <v/>
      </c>
      <c r="K22" s="22">
        <f>K21+J22</f>
        <v/>
      </c>
    </row>
    <row r="23">
      <c r="A23" t="n">
        <v>19</v>
      </c>
      <c r="B23" s="24">
        <f>B22*(1+Supuestos!$B$17)</f>
        <v/>
      </c>
      <c r="C23" s="24">
        <f>D22*Supuestos!$B$18</f>
        <v/>
      </c>
      <c r="D23" s="24">
        <f>D22+B23-C23</f>
        <v/>
      </c>
      <c r="E23" s="25">
        <f>D23*Supuestos!$B$9</f>
        <v/>
      </c>
      <c r="F23" s="25">
        <f>-E23*Supuestos!$B$12</f>
        <v/>
      </c>
      <c r="G23" s="25">
        <f>-Supuestos!$B$29</f>
        <v/>
      </c>
      <c r="H23" s="25">
        <f>E23+F23+G23</f>
        <v/>
      </c>
      <c r="I23" s="25">
        <f>-MAX(0,H23)*Supuestos!$B$13</f>
        <v/>
      </c>
      <c r="J23" s="26">
        <f>H23+I23</f>
        <v/>
      </c>
      <c r="K23" s="25">
        <f>K22+J23</f>
        <v/>
      </c>
    </row>
    <row r="24">
      <c r="A24" t="n">
        <v>20</v>
      </c>
      <c r="B24" s="24">
        <f>B23*(1+Supuestos!$B$17)</f>
        <v/>
      </c>
      <c r="C24" s="24">
        <f>D23*Supuestos!$B$18</f>
        <v/>
      </c>
      <c r="D24" s="24">
        <f>D23+B24-C24</f>
        <v/>
      </c>
      <c r="E24" s="25">
        <f>D24*Supuestos!$B$9</f>
        <v/>
      </c>
      <c r="F24" s="25">
        <f>-E24*Supuestos!$B$12</f>
        <v/>
      </c>
      <c r="G24" s="25">
        <f>-Supuestos!$B$29</f>
        <v/>
      </c>
      <c r="H24" s="25">
        <f>E24+F24+G24</f>
        <v/>
      </c>
      <c r="I24" s="25">
        <f>-MAX(0,H24)*Supuestos!$B$13</f>
        <v/>
      </c>
      <c r="J24" s="26">
        <f>H24+I24</f>
        <v/>
      </c>
      <c r="K24" s="25">
        <f>K23+J24</f>
        <v/>
      </c>
    </row>
    <row r="25">
      <c r="A25" t="n">
        <v>21</v>
      </c>
      <c r="B25" s="24">
        <f>B24*(1+Supuestos!$B$17)</f>
        <v/>
      </c>
      <c r="C25" s="24">
        <f>D24*Supuestos!$B$18</f>
        <v/>
      </c>
      <c r="D25" s="24">
        <f>D24+B25-C25</f>
        <v/>
      </c>
      <c r="E25" s="25">
        <f>D25*Supuestos!$B$9</f>
        <v/>
      </c>
      <c r="F25" s="25">
        <f>-E25*Supuestos!$B$12</f>
        <v/>
      </c>
      <c r="G25" s="25">
        <f>-Supuestos!$B$29</f>
        <v/>
      </c>
      <c r="H25" s="25">
        <f>E25+F25+G25</f>
        <v/>
      </c>
      <c r="I25" s="25">
        <f>-MAX(0,H25)*Supuestos!$B$13</f>
        <v/>
      </c>
      <c r="J25" s="26">
        <f>H25+I25</f>
        <v/>
      </c>
      <c r="K25" s="25">
        <f>K24+J25</f>
        <v/>
      </c>
    </row>
    <row r="26">
      <c r="A26" t="n">
        <v>22</v>
      </c>
      <c r="B26" s="24">
        <f>B25*(1+Supuestos!$B$17)</f>
        <v/>
      </c>
      <c r="C26" s="24">
        <f>D25*Supuestos!$B$18</f>
        <v/>
      </c>
      <c r="D26" s="24">
        <f>D25+B26-C26</f>
        <v/>
      </c>
      <c r="E26" s="25">
        <f>D26*Supuestos!$B$9</f>
        <v/>
      </c>
      <c r="F26" s="25">
        <f>-E26*Supuestos!$B$12</f>
        <v/>
      </c>
      <c r="G26" s="25">
        <f>-Supuestos!$B$29</f>
        <v/>
      </c>
      <c r="H26" s="25">
        <f>E26+F26+G26</f>
        <v/>
      </c>
      <c r="I26" s="25">
        <f>-MAX(0,H26)*Supuestos!$B$13</f>
        <v/>
      </c>
      <c r="J26" s="26">
        <f>H26+I26</f>
        <v/>
      </c>
      <c r="K26" s="25">
        <f>K25+J26</f>
        <v/>
      </c>
    </row>
    <row r="27">
      <c r="A27" t="n">
        <v>23</v>
      </c>
      <c r="B27" s="24">
        <f>B26*(1+Supuestos!$B$17)</f>
        <v/>
      </c>
      <c r="C27" s="24">
        <f>D26*Supuestos!$B$18</f>
        <v/>
      </c>
      <c r="D27" s="24">
        <f>D26+B27-C27</f>
        <v/>
      </c>
      <c r="E27" s="25">
        <f>D27*Supuestos!$B$9</f>
        <v/>
      </c>
      <c r="F27" s="25">
        <f>-E27*Supuestos!$B$12</f>
        <v/>
      </c>
      <c r="G27" s="25">
        <f>-Supuestos!$B$29</f>
        <v/>
      </c>
      <c r="H27" s="25">
        <f>E27+F27+G27</f>
        <v/>
      </c>
      <c r="I27" s="25">
        <f>-MAX(0,H27)*Supuestos!$B$13</f>
        <v/>
      </c>
      <c r="J27" s="26">
        <f>H27+I27</f>
        <v/>
      </c>
      <c r="K27" s="25">
        <f>K26+J27</f>
        <v/>
      </c>
    </row>
    <row r="28">
      <c r="A28" s="17" t="n">
        <v>24</v>
      </c>
      <c r="B28" s="21">
        <f>B27*(1+Supuestos!$B$17)</f>
        <v/>
      </c>
      <c r="C28" s="21">
        <f>D27*Supuestos!$B$18</f>
        <v/>
      </c>
      <c r="D28" s="21">
        <f>D27+B28-C28</f>
        <v/>
      </c>
      <c r="E28" s="22">
        <f>D28*Supuestos!$B$9</f>
        <v/>
      </c>
      <c r="F28" s="22">
        <f>-E28*Supuestos!$B$12</f>
        <v/>
      </c>
      <c r="G28" s="22">
        <f>-Supuestos!$B$29</f>
        <v/>
      </c>
      <c r="H28" s="22">
        <f>E28+F28+G28</f>
        <v/>
      </c>
      <c r="I28" s="22">
        <f>-MAX(0,H28)*Supuestos!$B$13</f>
        <v/>
      </c>
      <c r="J28" s="23">
        <f>H28+I28</f>
        <v/>
      </c>
      <c r="K28" s="22">
        <f>K27+J28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9" customWidth="1" min="3" max="3"/>
    <col width="14" customWidth="1" min="4" max="4"/>
    <col width="15" customWidth="1" min="5" max="5"/>
    <col width="17" customWidth="1" min="6" max="6"/>
    <col width="12" customWidth="1" min="7" max="7"/>
    <col width="12" customWidth="1" min="8" max="8"/>
    <col width="21" customWidth="1" min="9" max="9"/>
    <col width="12" customWidth="1" min="10" max="10"/>
    <col width="18" customWidth="1" min="11" max="11"/>
    <col width="14" customWidth="1" min="12" max="12"/>
  </cols>
  <sheetData>
    <row r="1">
      <c r="A1" s="1" t="inlineStr">
        <is>
          <t>Rentabilidad neta mes a mes — con inversión en publicidad</t>
        </is>
      </c>
    </row>
    <row r="2">
      <c r="A2" s="2" t="inlineStr">
        <is>
          <t>Todas las cifras en dólares. «Neto» es lo que queda después de la comisión de MercadoPago, los costos fijos, la publicidad y los impuestos. Las filas de los meses 1, 3, 6, 9, 12, 18 y 24 están resaltadas.</t>
        </is>
      </c>
    </row>
    <row r="4" ht="30" customHeight="1">
      <c r="A4" s="3" t="inlineStr">
        <is>
          <t>Mes</t>
        </is>
      </c>
      <c r="B4" s="3" t="inlineStr">
        <is>
          <t>Clientes nuevos</t>
        </is>
      </c>
      <c r="C4" s="3" t="inlineStr">
        <is>
          <t>Bajas</t>
        </is>
      </c>
      <c r="D4" s="3" t="inlineStr">
        <is>
          <t>Clientes activos</t>
        </is>
      </c>
      <c r="E4" s="3" t="inlineStr">
        <is>
          <t>Facturación bruta</t>
        </is>
      </c>
      <c r="F4" s="3" t="inlineStr">
        <is>
          <t>Comisión MercadoPago</t>
        </is>
      </c>
      <c r="G4" s="3" t="inlineStr">
        <is>
          <t>Costos fijos</t>
        </is>
      </c>
      <c r="H4" s="3" t="inlineStr">
        <is>
          <t>Publicidad</t>
        </is>
      </c>
      <c r="I4" s="3" t="inlineStr">
        <is>
          <t>Resultado antes de impuestos</t>
        </is>
      </c>
      <c r="J4" s="3" t="inlineStr">
        <is>
          <t>Impuestos</t>
        </is>
      </c>
      <c r="K4" s="3" t="inlineStr">
        <is>
          <t>RENTABILIDAD NETA</t>
        </is>
      </c>
      <c r="L4" s="3" t="inlineStr">
        <is>
          <t>Acumulado</t>
        </is>
      </c>
    </row>
    <row r="5">
      <c r="A5" s="17" t="n">
        <v>1</v>
      </c>
      <c r="B5" s="21">
        <f>Supuestos!$B$16+Supuestos!$B$21/Supuestos!$B$22</f>
        <v/>
      </c>
      <c r="C5" s="21" t="n">
        <v>0</v>
      </c>
      <c r="D5" s="21">
        <f>B5</f>
        <v/>
      </c>
      <c r="E5" s="22">
        <f>D5*Supuestos!$B$9</f>
        <v/>
      </c>
      <c r="F5" s="22">
        <f>-E5*Supuestos!$B$12</f>
        <v/>
      </c>
      <c r="G5" s="22">
        <f>-Supuestos!$B$29</f>
        <v/>
      </c>
      <c r="H5" s="22">
        <f>-Supuestos!$B$21</f>
        <v/>
      </c>
      <c r="I5" s="22">
        <f>E5+F5+G5+H5</f>
        <v/>
      </c>
      <c r="J5" s="22">
        <f>-MAX(0,I5)*Supuestos!$B$13</f>
        <v/>
      </c>
      <c r="K5" s="23">
        <f>I5+J5</f>
        <v/>
      </c>
      <c r="L5" s="22">
        <f>K5</f>
        <v/>
      </c>
    </row>
    <row r="6">
      <c r="A6" t="n">
        <v>2</v>
      </c>
      <c r="B6" s="24">
        <f>(B5-Supuestos!$B$21/Supuestos!$B$22)*(1+Supuestos!$B$17)+Supuestos!$B$21/Supuestos!$B$22</f>
        <v/>
      </c>
      <c r="C6" s="24">
        <f>D5*Supuestos!$B$18</f>
        <v/>
      </c>
      <c r="D6" s="24">
        <f>D5+B6-C6</f>
        <v/>
      </c>
      <c r="E6" s="25">
        <f>D6*Supuestos!$B$9</f>
        <v/>
      </c>
      <c r="F6" s="25">
        <f>-E6*Supuestos!$B$12</f>
        <v/>
      </c>
      <c r="G6" s="25">
        <f>-Supuestos!$B$29</f>
        <v/>
      </c>
      <c r="H6" s="25">
        <f>-Supuestos!$B$21</f>
        <v/>
      </c>
      <c r="I6" s="25">
        <f>E6+F6+G6+H6</f>
        <v/>
      </c>
      <c r="J6" s="25">
        <f>-MAX(0,I6)*Supuestos!$B$13</f>
        <v/>
      </c>
      <c r="K6" s="26">
        <f>I6+J6</f>
        <v/>
      </c>
      <c r="L6" s="25">
        <f>L5+K6</f>
        <v/>
      </c>
    </row>
    <row r="7">
      <c r="A7" s="17" t="n">
        <v>3</v>
      </c>
      <c r="B7" s="21">
        <f>(B6-Supuestos!$B$21/Supuestos!$B$22)*(1+Supuestos!$B$17)+Supuestos!$B$21/Supuestos!$B$22</f>
        <v/>
      </c>
      <c r="C7" s="21">
        <f>D6*Supuestos!$B$18</f>
        <v/>
      </c>
      <c r="D7" s="21">
        <f>D6+B7-C7</f>
        <v/>
      </c>
      <c r="E7" s="22">
        <f>D7*Supuestos!$B$9</f>
        <v/>
      </c>
      <c r="F7" s="22">
        <f>-E7*Supuestos!$B$12</f>
        <v/>
      </c>
      <c r="G7" s="22">
        <f>-Supuestos!$B$29</f>
        <v/>
      </c>
      <c r="H7" s="22">
        <f>-Supuestos!$B$21</f>
        <v/>
      </c>
      <c r="I7" s="22">
        <f>E7+F7+G7+H7</f>
        <v/>
      </c>
      <c r="J7" s="22">
        <f>-MAX(0,I7)*Supuestos!$B$13</f>
        <v/>
      </c>
      <c r="K7" s="23">
        <f>I7+J7</f>
        <v/>
      </c>
      <c r="L7" s="22">
        <f>L6+K7</f>
        <v/>
      </c>
    </row>
    <row r="8">
      <c r="A8" t="n">
        <v>4</v>
      </c>
      <c r="B8" s="24">
        <f>(B7-Supuestos!$B$21/Supuestos!$B$22)*(1+Supuestos!$B$17)+Supuestos!$B$21/Supuestos!$B$22</f>
        <v/>
      </c>
      <c r="C8" s="24">
        <f>D7*Supuestos!$B$18</f>
        <v/>
      </c>
      <c r="D8" s="24">
        <f>D7+B8-C8</f>
        <v/>
      </c>
      <c r="E8" s="25">
        <f>D8*Supuestos!$B$9</f>
        <v/>
      </c>
      <c r="F8" s="25">
        <f>-E8*Supuestos!$B$12</f>
        <v/>
      </c>
      <c r="G8" s="25">
        <f>-Supuestos!$B$29</f>
        <v/>
      </c>
      <c r="H8" s="25">
        <f>-Supuestos!$B$21</f>
        <v/>
      </c>
      <c r="I8" s="25">
        <f>E8+F8+G8+H8</f>
        <v/>
      </c>
      <c r="J8" s="25">
        <f>-MAX(0,I8)*Supuestos!$B$13</f>
        <v/>
      </c>
      <c r="K8" s="26">
        <f>I8+J8</f>
        <v/>
      </c>
      <c r="L8" s="25">
        <f>L7+K8</f>
        <v/>
      </c>
    </row>
    <row r="9">
      <c r="A9" t="n">
        <v>5</v>
      </c>
      <c r="B9" s="24">
        <f>(B8-Supuestos!$B$21/Supuestos!$B$22)*(1+Supuestos!$B$17)+Supuestos!$B$21/Supuestos!$B$22</f>
        <v/>
      </c>
      <c r="C9" s="24">
        <f>D8*Supuestos!$B$18</f>
        <v/>
      </c>
      <c r="D9" s="24">
        <f>D8+B9-C9</f>
        <v/>
      </c>
      <c r="E9" s="25">
        <f>D9*Supuestos!$B$9</f>
        <v/>
      </c>
      <c r="F9" s="25">
        <f>-E9*Supuestos!$B$12</f>
        <v/>
      </c>
      <c r="G9" s="25">
        <f>-Supuestos!$B$29</f>
        <v/>
      </c>
      <c r="H9" s="25">
        <f>-Supuestos!$B$21</f>
        <v/>
      </c>
      <c r="I9" s="25">
        <f>E9+F9+G9+H9</f>
        <v/>
      </c>
      <c r="J9" s="25">
        <f>-MAX(0,I9)*Supuestos!$B$13</f>
        <v/>
      </c>
      <c r="K9" s="26">
        <f>I9+J9</f>
        <v/>
      </c>
      <c r="L9" s="25">
        <f>L8+K9</f>
        <v/>
      </c>
    </row>
    <row r="10">
      <c r="A10" s="17" t="n">
        <v>6</v>
      </c>
      <c r="B10" s="21">
        <f>(B9-Supuestos!$B$21/Supuestos!$B$22)*(1+Supuestos!$B$17)+Supuestos!$B$21/Supuestos!$B$22</f>
        <v/>
      </c>
      <c r="C10" s="21">
        <f>D9*Supuestos!$B$18</f>
        <v/>
      </c>
      <c r="D10" s="21">
        <f>D9+B10-C10</f>
        <v/>
      </c>
      <c r="E10" s="22">
        <f>D10*Supuestos!$B$9</f>
        <v/>
      </c>
      <c r="F10" s="22">
        <f>-E10*Supuestos!$B$12</f>
        <v/>
      </c>
      <c r="G10" s="22">
        <f>-Supuestos!$B$29</f>
        <v/>
      </c>
      <c r="H10" s="22">
        <f>-Supuestos!$B$21</f>
        <v/>
      </c>
      <c r="I10" s="22">
        <f>E10+F10+G10+H10</f>
        <v/>
      </c>
      <c r="J10" s="22">
        <f>-MAX(0,I10)*Supuestos!$B$13</f>
        <v/>
      </c>
      <c r="K10" s="23">
        <f>I10+J10</f>
        <v/>
      </c>
      <c r="L10" s="22">
        <f>L9+K10</f>
        <v/>
      </c>
    </row>
    <row r="11">
      <c r="A11" t="n">
        <v>7</v>
      </c>
      <c r="B11" s="24">
        <f>(B10-Supuestos!$B$21/Supuestos!$B$22)*(1+Supuestos!$B$17)+Supuestos!$B$21/Supuestos!$B$22</f>
        <v/>
      </c>
      <c r="C11" s="24">
        <f>D10*Supuestos!$B$18</f>
        <v/>
      </c>
      <c r="D11" s="24">
        <f>D10+B11-C11</f>
        <v/>
      </c>
      <c r="E11" s="25">
        <f>D11*Supuestos!$B$9</f>
        <v/>
      </c>
      <c r="F11" s="25">
        <f>-E11*Supuestos!$B$12</f>
        <v/>
      </c>
      <c r="G11" s="25">
        <f>-Supuestos!$B$29</f>
        <v/>
      </c>
      <c r="H11" s="25">
        <f>-Supuestos!$B$21</f>
        <v/>
      </c>
      <c r="I11" s="25">
        <f>E11+F11+G11+H11</f>
        <v/>
      </c>
      <c r="J11" s="25">
        <f>-MAX(0,I11)*Supuestos!$B$13</f>
        <v/>
      </c>
      <c r="K11" s="26">
        <f>I11+J11</f>
        <v/>
      </c>
      <c r="L11" s="25">
        <f>L10+K11</f>
        <v/>
      </c>
    </row>
    <row r="12">
      <c r="A12" t="n">
        <v>8</v>
      </c>
      <c r="B12" s="24">
        <f>(B11-Supuestos!$B$21/Supuestos!$B$22)*(1+Supuestos!$B$17)+Supuestos!$B$21/Supuestos!$B$22</f>
        <v/>
      </c>
      <c r="C12" s="24">
        <f>D11*Supuestos!$B$18</f>
        <v/>
      </c>
      <c r="D12" s="24">
        <f>D11+B12-C12</f>
        <v/>
      </c>
      <c r="E12" s="25">
        <f>D12*Supuestos!$B$9</f>
        <v/>
      </c>
      <c r="F12" s="25">
        <f>-E12*Supuestos!$B$12</f>
        <v/>
      </c>
      <c r="G12" s="25">
        <f>-Supuestos!$B$29</f>
        <v/>
      </c>
      <c r="H12" s="25">
        <f>-Supuestos!$B$21</f>
        <v/>
      </c>
      <c r="I12" s="25">
        <f>E12+F12+G12+H12</f>
        <v/>
      </c>
      <c r="J12" s="25">
        <f>-MAX(0,I12)*Supuestos!$B$13</f>
        <v/>
      </c>
      <c r="K12" s="26">
        <f>I12+J12</f>
        <v/>
      </c>
      <c r="L12" s="25">
        <f>L11+K12</f>
        <v/>
      </c>
    </row>
    <row r="13">
      <c r="A13" s="17" t="n">
        <v>9</v>
      </c>
      <c r="B13" s="21">
        <f>(B12-Supuestos!$B$21/Supuestos!$B$22)*(1+Supuestos!$B$17)+Supuestos!$B$21/Supuestos!$B$22</f>
        <v/>
      </c>
      <c r="C13" s="21">
        <f>D12*Supuestos!$B$18</f>
        <v/>
      </c>
      <c r="D13" s="21">
        <f>D12+B13-C13</f>
        <v/>
      </c>
      <c r="E13" s="22">
        <f>D13*Supuestos!$B$9</f>
        <v/>
      </c>
      <c r="F13" s="22">
        <f>-E13*Supuestos!$B$12</f>
        <v/>
      </c>
      <c r="G13" s="22">
        <f>-Supuestos!$B$29</f>
        <v/>
      </c>
      <c r="H13" s="22">
        <f>-Supuestos!$B$21</f>
        <v/>
      </c>
      <c r="I13" s="22">
        <f>E13+F13+G13+H13</f>
        <v/>
      </c>
      <c r="J13" s="22">
        <f>-MAX(0,I13)*Supuestos!$B$13</f>
        <v/>
      </c>
      <c r="K13" s="23">
        <f>I13+J13</f>
        <v/>
      </c>
      <c r="L13" s="22">
        <f>L12+K13</f>
        <v/>
      </c>
    </row>
    <row r="14">
      <c r="A14" t="n">
        <v>10</v>
      </c>
      <c r="B14" s="24">
        <f>(B13-Supuestos!$B$21/Supuestos!$B$22)*(1+Supuestos!$B$17)+Supuestos!$B$21/Supuestos!$B$22</f>
        <v/>
      </c>
      <c r="C14" s="24">
        <f>D13*Supuestos!$B$18</f>
        <v/>
      </c>
      <c r="D14" s="24">
        <f>D13+B14-C14</f>
        <v/>
      </c>
      <c r="E14" s="25">
        <f>D14*Supuestos!$B$9</f>
        <v/>
      </c>
      <c r="F14" s="25">
        <f>-E14*Supuestos!$B$12</f>
        <v/>
      </c>
      <c r="G14" s="25">
        <f>-Supuestos!$B$29</f>
        <v/>
      </c>
      <c r="H14" s="25">
        <f>-Supuestos!$B$21</f>
        <v/>
      </c>
      <c r="I14" s="25">
        <f>E14+F14+G14+H14</f>
        <v/>
      </c>
      <c r="J14" s="25">
        <f>-MAX(0,I14)*Supuestos!$B$13</f>
        <v/>
      </c>
      <c r="K14" s="26">
        <f>I14+J14</f>
        <v/>
      </c>
      <c r="L14" s="25">
        <f>L13+K14</f>
        <v/>
      </c>
    </row>
    <row r="15">
      <c r="A15" t="n">
        <v>11</v>
      </c>
      <c r="B15" s="24">
        <f>(B14-Supuestos!$B$21/Supuestos!$B$22)*(1+Supuestos!$B$17)+Supuestos!$B$21/Supuestos!$B$22</f>
        <v/>
      </c>
      <c r="C15" s="24">
        <f>D14*Supuestos!$B$18</f>
        <v/>
      </c>
      <c r="D15" s="24">
        <f>D14+B15-C15</f>
        <v/>
      </c>
      <c r="E15" s="25">
        <f>D15*Supuestos!$B$9</f>
        <v/>
      </c>
      <c r="F15" s="25">
        <f>-E15*Supuestos!$B$12</f>
        <v/>
      </c>
      <c r="G15" s="25">
        <f>-Supuestos!$B$29</f>
        <v/>
      </c>
      <c r="H15" s="25">
        <f>-Supuestos!$B$21</f>
        <v/>
      </c>
      <c r="I15" s="25">
        <f>E15+F15+G15+H15</f>
        <v/>
      </c>
      <c r="J15" s="25">
        <f>-MAX(0,I15)*Supuestos!$B$13</f>
        <v/>
      </c>
      <c r="K15" s="26">
        <f>I15+J15</f>
        <v/>
      </c>
      <c r="L15" s="25">
        <f>L14+K15</f>
        <v/>
      </c>
    </row>
    <row r="16">
      <c r="A16" s="17" t="n">
        <v>12</v>
      </c>
      <c r="B16" s="21">
        <f>(B15-Supuestos!$B$21/Supuestos!$B$22)*(1+Supuestos!$B$17)+Supuestos!$B$21/Supuestos!$B$22</f>
        <v/>
      </c>
      <c r="C16" s="21">
        <f>D15*Supuestos!$B$18</f>
        <v/>
      </c>
      <c r="D16" s="21">
        <f>D15+B16-C16</f>
        <v/>
      </c>
      <c r="E16" s="22">
        <f>D16*Supuestos!$B$9</f>
        <v/>
      </c>
      <c r="F16" s="22">
        <f>-E16*Supuestos!$B$12</f>
        <v/>
      </c>
      <c r="G16" s="22">
        <f>-Supuestos!$B$29</f>
        <v/>
      </c>
      <c r="H16" s="22">
        <f>-Supuestos!$B$21</f>
        <v/>
      </c>
      <c r="I16" s="22">
        <f>E16+F16+G16+H16</f>
        <v/>
      </c>
      <c r="J16" s="22">
        <f>-MAX(0,I16)*Supuestos!$B$13</f>
        <v/>
      </c>
      <c r="K16" s="23">
        <f>I16+J16</f>
        <v/>
      </c>
      <c r="L16" s="22">
        <f>L15+K16</f>
        <v/>
      </c>
    </row>
    <row r="17">
      <c r="A17" t="n">
        <v>13</v>
      </c>
      <c r="B17" s="24">
        <f>(B16-Supuestos!$B$21/Supuestos!$B$22)*(1+Supuestos!$B$17)+Supuestos!$B$21/Supuestos!$B$22</f>
        <v/>
      </c>
      <c r="C17" s="24">
        <f>D16*Supuestos!$B$18</f>
        <v/>
      </c>
      <c r="D17" s="24">
        <f>D16+B17-C17</f>
        <v/>
      </c>
      <c r="E17" s="25">
        <f>D17*Supuestos!$B$9</f>
        <v/>
      </c>
      <c r="F17" s="25">
        <f>-E17*Supuestos!$B$12</f>
        <v/>
      </c>
      <c r="G17" s="25">
        <f>-Supuestos!$B$29</f>
        <v/>
      </c>
      <c r="H17" s="25">
        <f>-Supuestos!$B$21</f>
        <v/>
      </c>
      <c r="I17" s="25">
        <f>E17+F17+G17+H17</f>
        <v/>
      </c>
      <c r="J17" s="25">
        <f>-MAX(0,I17)*Supuestos!$B$13</f>
        <v/>
      </c>
      <c r="K17" s="26">
        <f>I17+J17</f>
        <v/>
      </c>
      <c r="L17" s="25">
        <f>L16+K17</f>
        <v/>
      </c>
    </row>
    <row r="18">
      <c r="A18" t="n">
        <v>14</v>
      </c>
      <c r="B18" s="24">
        <f>(B17-Supuestos!$B$21/Supuestos!$B$22)*(1+Supuestos!$B$17)+Supuestos!$B$21/Supuestos!$B$22</f>
        <v/>
      </c>
      <c r="C18" s="24">
        <f>D17*Supuestos!$B$18</f>
        <v/>
      </c>
      <c r="D18" s="24">
        <f>D17+B18-C18</f>
        <v/>
      </c>
      <c r="E18" s="25">
        <f>D18*Supuestos!$B$9</f>
        <v/>
      </c>
      <c r="F18" s="25">
        <f>-E18*Supuestos!$B$12</f>
        <v/>
      </c>
      <c r="G18" s="25">
        <f>-Supuestos!$B$29</f>
        <v/>
      </c>
      <c r="H18" s="25">
        <f>-Supuestos!$B$21</f>
        <v/>
      </c>
      <c r="I18" s="25">
        <f>E18+F18+G18+H18</f>
        <v/>
      </c>
      <c r="J18" s="25">
        <f>-MAX(0,I18)*Supuestos!$B$13</f>
        <v/>
      </c>
      <c r="K18" s="26">
        <f>I18+J18</f>
        <v/>
      </c>
      <c r="L18" s="25">
        <f>L17+K18</f>
        <v/>
      </c>
    </row>
    <row r="19">
      <c r="A19" t="n">
        <v>15</v>
      </c>
      <c r="B19" s="24">
        <f>(B18-Supuestos!$B$21/Supuestos!$B$22)*(1+Supuestos!$B$17)+Supuestos!$B$21/Supuestos!$B$22</f>
        <v/>
      </c>
      <c r="C19" s="24">
        <f>D18*Supuestos!$B$18</f>
        <v/>
      </c>
      <c r="D19" s="24">
        <f>D18+B19-C19</f>
        <v/>
      </c>
      <c r="E19" s="25">
        <f>D19*Supuestos!$B$9</f>
        <v/>
      </c>
      <c r="F19" s="25">
        <f>-E19*Supuestos!$B$12</f>
        <v/>
      </c>
      <c r="G19" s="25">
        <f>-Supuestos!$B$29</f>
        <v/>
      </c>
      <c r="H19" s="25">
        <f>-Supuestos!$B$21</f>
        <v/>
      </c>
      <c r="I19" s="25">
        <f>E19+F19+G19+H19</f>
        <v/>
      </c>
      <c r="J19" s="25">
        <f>-MAX(0,I19)*Supuestos!$B$13</f>
        <v/>
      </c>
      <c r="K19" s="26">
        <f>I19+J19</f>
        <v/>
      </c>
      <c r="L19" s="25">
        <f>L18+K19</f>
        <v/>
      </c>
    </row>
    <row r="20">
      <c r="A20" t="n">
        <v>16</v>
      </c>
      <c r="B20" s="24">
        <f>(B19-Supuestos!$B$21/Supuestos!$B$22)*(1+Supuestos!$B$17)+Supuestos!$B$21/Supuestos!$B$22</f>
        <v/>
      </c>
      <c r="C20" s="24">
        <f>D19*Supuestos!$B$18</f>
        <v/>
      </c>
      <c r="D20" s="24">
        <f>D19+B20-C20</f>
        <v/>
      </c>
      <c r="E20" s="25">
        <f>D20*Supuestos!$B$9</f>
        <v/>
      </c>
      <c r="F20" s="25">
        <f>-E20*Supuestos!$B$12</f>
        <v/>
      </c>
      <c r="G20" s="25">
        <f>-Supuestos!$B$29</f>
        <v/>
      </c>
      <c r="H20" s="25">
        <f>-Supuestos!$B$21</f>
        <v/>
      </c>
      <c r="I20" s="25">
        <f>E20+F20+G20+H20</f>
        <v/>
      </c>
      <c r="J20" s="25">
        <f>-MAX(0,I20)*Supuestos!$B$13</f>
        <v/>
      </c>
      <c r="K20" s="26">
        <f>I20+J20</f>
        <v/>
      </c>
      <c r="L20" s="25">
        <f>L19+K20</f>
        <v/>
      </c>
    </row>
    <row r="21">
      <c r="A21" t="n">
        <v>17</v>
      </c>
      <c r="B21" s="24">
        <f>(B20-Supuestos!$B$21/Supuestos!$B$22)*(1+Supuestos!$B$17)+Supuestos!$B$21/Supuestos!$B$22</f>
        <v/>
      </c>
      <c r="C21" s="24">
        <f>D20*Supuestos!$B$18</f>
        <v/>
      </c>
      <c r="D21" s="24">
        <f>D20+B21-C21</f>
        <v/>
      </c>
      <c r="E21" s="25">
        <f>D21*Supuestos!$B$9</f>
        <v/>
      </c>
      <c r="F21" s="25">
        <f>-E21*Supuestos!$B$12</f>
        <v/>
      </c>
      <c r="G21" s="25">
        <f>-Supuestos!$B$29</f>
        <v/>
      </c>
      <c r="H21" s="25">
        <f>-Supuestos!$B$21</f>
        <v/>
      </c>
      <c r="I21" s="25">
        <f>E21+F21+G21+H21</f>
        <v/>
      </c>
      <c r="J21" s="25">
        <f>-MAX(0,I21)*Supuestos!$B$13</f>
        <v/>
      </c>
      <c r="K21" s="26">
        <f>I21+J21</f>
        <v/>
      </c>
      <c r="L21" s="25">
        <f>L20+K21</f>
        <v/>
      </c>
    </row>
    <row r="22">
      <c r="A22" s="17" t="n">
        <v>18</v>
      </c>
      <c r="B22" s="21">
        <f>(B21-Supuestos!$B$21/Supuestos!$B$22)*(1+Supuestos!$B$17)+Supuestos!$B$21/Supuestos!$B$22</f>
        <v/>
      </c>
      <c r="C22" s="21">
        <f>D21*Supuestos!$B$18</f>
        <v/>
      </c>
      <c r="D22" s="21">
        <f>D21+B22-C22</f>
        <v/>
      </c>
      <c r="E22" s="22">
        <f>D22*Supuestos!$B$9</f>
        <v/>
      </c>
      <c r="F22" s="22">
        <f>-E22*Supuestos!$B$12</f>
        <v/>
      </c>
      <c r="G22" s="22">
        <f>-Supuestos!$B$29</f>
        <v/>
      </c>
      <c r="H22" s="22">
        <f>-Supuestos!$B$21</f>
        <v/>
      </c>
      <c r="I22" s="22">
        <f>E22+F22+G22+H22</f>
        <v/>
      </c>
      <c r="J22" s="22">
        <f>-MAX(0,I22)*Supuestos!$B$13</f>
        <v/>
      </c>
      <c r="K22" s="23">
        <f>I22+J22</f>
        <v/>
      </c>
      <c r="L22" s="22">
        <f>L21+K22</f>
        <v/>
      </c>
    </row>
    <row r="23">
      <c r="A23" t="n">
        <v>19</v>
      </c>
      <c r="B23" s="24">
        <f>(B22-Supuestos!$B$21/Supuestos!$B$22)*(1+Supuestos!$B$17)+Supuestos!$B$21/Supuestos!$B$22</f>
        <v/>
      </c>
      <c r="C23" s="24">
        <f>D22*Supuestos!$B$18</f>
        <v/>
      </c>
      <c r="D23" s="24">
        <f>D22+B23-C23</f>
        <v/>
      </c>
      <c r="E23" s="25">
        <f>D23*Supuestos!$B$9</f>
        <v/>
      </c>
      <c r="F23" s="25">
        <f>-E23*Supuestos!$B$12</f>
        <v/>
      </c>
      <c r="G23" s="25">
        <f>-Supuestos!$B$29</f>
        <v/>
      </c>
      <c r="H23" s="25">
        <f>-Supuestos!$B$21</f>
        <v/>
      </c>
      <c r="I23" s="25">
        <f>E23+F23+G23+H23</f>
        <v/>
      </c>
      <c r="J23" s="25">
        <f>-MAX(0,I23)*Supuestos!$B$13</f>
        <v/>
      </c>
      <c r="K23" s="26">
        <f>I23+J23</f>
        <v/>
      </c>
      <c r="L23" s="25">
        <f>L22+K23</f>
        <v/>
      </c>
    </row>
    <row r="24">
      <c r="A24" t="n">
        <v>20</v>
      </c>
      <c r="B24" s="24">
        <f>(B23-Supuestos!$B$21/Supuestos!$B$22)*(1+Supuestos!$B$17)+Supuestos!$B$21/Supuestos!$B$22</f>
        <v/>
      </c>
      <c r="C24" s="24">
        <f>D23*Supuestos!$B$18</f>
        <v/>
      </c>
      <c r="D24" s="24">
        <f>D23+B24-C24</f>
        <v/>
      </c>
      <c r="E24" s="25">
        <f>D24*Supuestos!$B$9</f>
        <v/>
      </c>
      <c r="F24" s="25">
        <f>-E24*Supuestos!$B$12</f>
        <v/>
      </c>
      <c r="G24" s="25">
        <f>-Supuestos!$B$29</f>
        <v/>
      </c>
      <c r="H24" s="25">
        <f>-Supuestos!$B$21</f>
        <v/>
      </c>
      <c r="I24" s="25">
        <f>E24+F24+G24+H24</f>
        <v/>
      </c>
      <c r="J24" s="25">
        <f>-MAX(0,I24)*Supuestos!$B$13</f>
        <v/>
      </c>
      <c r="K24" s="26">
        <f>I24+J24</f>
        <v/>
      </c>
      <c r="L24" s="25">
        <f>L23+K24</f>
        <v/>
      </c>
    </row>
    <row r="25">
      <c r="A25" t="n">
        <v>21</v>
      </c>
      <c r="B25" s="24">
        <f>(B24-Supuestos!$B$21/Supuestos!$B$22)*(1+Supuestos!$B$17)+Supuestos!$B$21/Supuestos!$B$22</f>
        <v/>
      </c>
      <c r="C25" s="24">
        <f>D24*Supuestos!$B$18</f>
        <v/>
      </c>
      <c r="D25" s="24">
        <f>D24+B25-C25</f>
        <v/>
      </c>
      <c r="E25" s="25">
        <f>D25*Supuestos!$B$9</f>
        <v/>
      </c>
      <c r="F25" s="25">
        <f>-E25*Supuestos!$B$12</f>
        <v/>
      </c>
      <c r="G25" s="25">
        <f>-Supuestos!$B$29</f>
        <v/>
      </c>
      <c r="H25" s="25">
        <f>-Supuestos!$B$21</f>
        <v/>
      </c>
      <c r="I25" s="25">
        <f>E25+F25+G25+H25</f>
        <v/>
      </c>
      <c r="J25" s="25">
        <f>-MAX(0,I25)*Supuestos!$B$13</f>
        <v/>
      </c>
      <c r="K25" s="26">
        <f>I25+J25</f>
        <v/>
      </c>
      <c r="L25" s="25">
        <f>L24+K25</f>
        <v/>
      </c>
    </row>
    <row r="26">
      <c r="A26" t="n">
        <v>22</v>
      </c>
      <c r="B26" s="24">
        <f>(B25-Supuestos!$B$21/Supuestos!$B$22)*(1+Supuestos!$B$17)+Supuestos!$B$21/Supuestos!$B$22</f>
        <v/>
      </c>
      <c r="C26" s="24">
        <f>D25*Supuestos!$B$18</f>
        <v/>
      </c>
      <c r="D26" s="24">
        <f>D25+B26-C26</f>
        <v/>
      </c>
      <c r="E26" s="25">
        <f>D26*Supuestos!$B$9</f>
        <v/>
      </c>
      <c r="F26" s="25">
        <f>-E26*Supuestos!$B$12</f>
        <v/>
      </c>
      <c r="G26" s="25">
        <f>-Supuestos!$B$29</f>
        <v/>
      </c>
      <c r="H26" s="25">
        <f>-Supuestos!$B$21</f>
        <v/>
      </c>
      <c r="I26" s="25">
        <f>E26+F26+G26+H26</f>
        <v/>
      </c>
      <c r="J26" s="25">
        <f>-MAX(0,I26)*Supuestos!$B$13</f>
        <v/>
      </c>
      <c r="K26" s="26">
        <f>I26+J26</f>
        <v/>
      </c>
      <c r="L26" s="25">
        <f>L25+K26</f>
        <v/>
      </c>
    </row>
    <row r="27">
      <c r="A27" t="n">
        <v>23</v>
      </c>
      <c r="B27" s="24">
        <f>(B26-Supuestos!$B$21/Supuestos!$B$22)*(1+Supuestos!$B$17)+Supuestos!$B$21/Supuestos!$B$22</f>
        <v/>
      </c>
      <c r="C27" s="24">
        <f>D26*Supuestos!$B$18</f>
        <v/>
      </c>
      <c r="D27" s="24">
        <f>D26+B27-C27</f>
        <v/>
      </c>
      <c r="E27" s="25">
        <f>D27*Supuestos!$B$9</f>
        <v/>
      </c>
      <c r="F27" s="25">
        <f>-E27*Supuestos!$B$12</f>
        <v/>
      </c>
      <c r="G27" s="25">
        <f>-Supuestos!$B$29</f>
        <v/>
      </c>
      <c r="H27" s="25">
        <f>-Supuestos!$B$21</f>
        <v/>
      </c>
      <c r="I27" s="25">
        <f>E27+F27+G27+H27</f>
        <v/>
      </c>
      <c r="J27" s="25">
        <f>-MAX(0,I27)*Supuestos!$B$13</f>
        <v/>
      </c>
      <c r="K27" s="26">
        <f>I27+J27</f>
        <v/>
      </c>
      <c r="L27" s="25">
        <f>L26+K27</f>
        <v/>
      </c>
    </row>
    <row r="28">
      <c r="A28" s="17" t="n">
        <v>24</v>
      </c>
      <c r="B28" s="21">
        <f>(B27-Supuestos!$B$21/Supuestos!$B$22)*(1+Supuestos!$B$17)+Supuestos!$B$21/Supuestos!$B$22</f>
        <v/>
      </c>
      <c r="C28" s="21">
        <f>D27*Supuestos!$B$18</f>
        <v/>
      </c>
      <c r="D28" s="21">
        <f>D27+B28-C28</f>
        <v/>
      </c>
      <c r="E28" s="22">
        <f>D28*Supuestos!$B$9</f>
        <v/>
      </c>
      <c r="F28" s="22">
        <f>-E28*Supuestos!$B$12</f>
        <v/>
      </c>
      <c r="G28" s="22">
        <f>-Supuestos!$B$29</f>
        <v/>
      </c>
      <c r="H28" s="22">
        <f>-Supuestos!$B$21</f>
        <v/>
      </c>
      <c r="I28" s="22">
        <f>E28+F28+G28+H28</f>
        <v/>
      </c>
      <c r="J28" s="22">
        <f>-MAX(0,I28)*Supuestos!$B$13</f>
        <v/>
      </c>
      <c r="K28" s="23">
        <f>I28+J28</f>
        <v/>
      </c>
      <c r="L28" s="22">
        <f>L27+K28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42" customWidth="1" min="3" max="3"/>
    <col width="26" customWidth="1" min="4" max="4"/>
    <col width="52" customWidth="1" min="5" max="5"/>
  </cols>
  <sheetData>
    <row r="1">
      <c r="A1" s="1" t="inlineStr">
        <is>
          <t>Cuánto se lleva el fisco, según cómo factures</t>
        </is>
      </c>
    </row>
    <row r="2">
      <c r="A2" s="2" t="inlineStr">
        <is>
          <t>Cuatro caminos posibles, del más chico al más armado. La columna de la derecha es la que hay que llevar a la hoja «Supuestos», en «Tasa efectiva de impuestos».</t>
        </is>
      </c>
    </row>
    <row r="4" ht="30" customHeight="1">
      <c r="A4" s="3" t="inlineStr">
        <is>
          <t>Régimen</t>
        </is>
      </c>
      <c r="B4" s="3" t="inlineStr">
        <is>
          <t>Qué es</t>
        </is>
      </c>
      <c r="C4" s="3" t="inlineStr">
        <is>
          <t>Qué se paga</t>
        </is>
      </c>
      <c r="D4" s="3" t="inlineStr">
        <is>
          <t>Tasa efectiva sobre facturación</t>
        </is>
      </c>
      <c r="E4" s="3" t="inlineStr">
        <is>
          <t>Cuándo conviene</t>
        </is>
      </c>
    </row>
    <row r="5" ht="74" customHeight="1">
      <c r="A5" s="4" t="inlineStr">
        <is>
          <t>Unipersonal — Literal E</t>
        </is>
      </c>
      <c r="B5" s="11" t="inlineStr">
        <is>
          <t>Facturación anual chica (hasta el tope que fija la DGI, del orden de UYU 1.100.000 por año). Se paga un importe fijo mensual por IVA mínimo e IRAE ficto, más los aportes a BPS del titular.</t>
        </is>
      </c>
      <c r="C5" s="11" t="inlineStr">
        <is>
          <t>Muy baja: el fijo mensual ronda el equivalente a US$ 130-180 entre DGI y BPS.</t>
        </is>
      </c>
      <c r="D5" s="27" t="inlineStr">
        <is>
          <t>≈ 6-10% de la facturación mientras seas chico; el porcentaje baja cuanto más facturás.</t>
        </is>
      </c>
      <c r="E5" s="11" t="inlineStr">
        <is>
          <t>Es donde conviene arrancar. Cuando pases el tope hay que cambiar de régimen sí o sí.</t>
        </is>
      </c>
    </row>
    <row r="6" ht="74" customHeight="1">
      <c r="A6" s="4" t="inlineStr">
        <is>
          <t>Sociedad (SAS o SRL) — régimen general</t>
        </is>
      </c>
      <c r="B6" s="11" t="inlineStr">
        <is>
          <t>IRAE 25% sobre la renta neta (ingresos menos gastos deducibles), IVA 22% sobre las ventas dentro de Uruguay, y 7% de IRPF/IRNR cuando se reparten dividendos.</t>
        </is>
      </c>
      <c r="C6" s="11" t="inlineStr">
        <is>
          <t>IRAE 25% + IVA 22% en ventas locales + 7% al retirar.</t>
        </is>
      </c>
      <c r="D6" s="27" t="inlineStr">
        <is>
          <t>≈ 25-30% sobre la ganancia si vendés dentro del país.</t>
        </is>
      </c>
      <c r="E6" s="11" t="inlineStr">
        <is>
          <t>Es el escenario caro. Sólo tiene sentido si la mayor parte de las ventas son locales y ya son grandes.</t>
        </is>
      </c>
    </row>
    <row r="7" ht="74" customHeight="1">
      <c r="A7" s="4" t="inlineStr">
        <is>
          <t>Sociedad exportando servicios</t>
        </is>
      </c>
      <c r="B7" s="11" t="inlineStr">
        <is>
          <t>La venta de software a un cliente del exterior, usado en el exterior, se trata como exportación de servicios: no lleva IVA. Queda el IRAE sobre la renta neta.</t>
        </is>
      </c>
      <c r="C7" s="11" t="inlineStr">
        <is>
          <t>Sin IVA en esas ventas. IRAE 25% sobre la ganancia.</t>
        </is>
      </c>
      <c r="D7" s="27" t="inlineStr">
        <is>
          <t>≈ 12-18% sobre la facturación, según cuánto gasto tengas para deducir.</t>
        </is>
      </c>
      <c r="E7" s="11" t="inlineStr">
        <is>
          <t>Es el escenario más probable para este producto: el mercado natural es LATAM y el mundo, no sólo Uruguay.</t>
        </is>
      </c>
    </row>
    <row r="8" ht="74" customHeight="1">
      <c r="A8" s="4" t="inlineStr">
        <is>
          <t>Sociedad con exoneración de software</t>
        </is>
      </c>
      <c r="B8" s="11" t="inlineStr">
        <is>
          <t>Uruguay exonera de IRAE la renta por producción de soporte lógico desarrollado en el país, cumpliendo requisitos de nexo (proporción del gasto en desarrollo local y personal calificado) y registro.</t>
        </is>
      </c>
      <c r="C8" s="11" t="inlineStr">
        <is>
          <t>IRAE puede quedar cerca de 0 sobre la parte exonerada. IVA exportación sigue sin aplicar.</t>
        </is>
      </c>
      <c r="D8" s="27" t="inlineStr">
        <is>
          <t>≈ 3-8% sobre la facturación, casi todo BPS y gastos administrativos.</t>
        </is>
      </c>
      <c r="E8" s="11" t="inlineStr">
        <is>
          <t>Es el mejor escenario y es alcanzable, pero exige cumplir los requisitos formales y tener el registro al día. Sin contador no lo armes.</t>
        </is>
      </c>
    </row>
    <row r="10" ht="62" customHeight="1">
      <c r="A10" s="28" t="inlineStr">
        <is>
          <t>ADVERTENCIA. Los porcentajes de esta hoja son órdenes de magnitud para armar el modelo, no asesoramiento fiscal. Los topes, las tasas y los requisitos de la exoneración de software cambian, y el que decide qué régimen te corresponde es un contador con tus números adelante. Antes de facturar la primera venta, sentate una hora con uno: cuesta poco y te ahorra elegir mal el régimen, que después es caro de revertir.</t>
        </is>
      </c>
    </row>
  </sheetData>
  <mergeCells count="1">
    <mergeCell ref="A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46" customWidth="1" min="3" max="3"/>
    <col width="26" customWidth="1" min="4" max="4"/>
    <col width="40" customWidth="1" min="5" max="5"/>
    <col width="46" customWidth="1" min="6" max="6"/>
    <col width="56" customWidth="1" min="7" max="7"/>
  </cols>
  <sheetData>
    <row r="1">
      <c r="A1" s="1" t="inlineStr">
        <is>
          <t>Contra quién se compite, por mercado</t>
        </is>
      </c>
    </row>
    <row r="2">
      <c r="A2" s="2" t="inlineStr">
        <is>
          <t>Los precios son órdenes de magnitud tomados de la comunicación pública de cada producto y cambian seguido: verificalos antes de usarlos en una propuesta comercial. La última columna es lo que hay que decir en una reunión cuando aparece ese nombre.</t>
        </is>
      </c>
    </row>
    <row r="4" ht="30" customHeight="1">
      <c r="A4" s="3" t="inlineStr">
        <is>
          <t>Mercado</t>
        </is>
      </c>
      <c r="B4" s="3" t="inlineStr">
        <is>
          <t>Competidor</t>
        </is>
      </c>
      <c r="C4" s="3" t="inlineStr">
        <is>
          <t>Qué hace</t>
        </is>
      </c>
      <c r="D4" s="3" t="inlineStr">
        <is>
          <t>Precio aproximado</t>
        </is>
      </c>
      <c r="E4" s="3" t="inlineStr">
        <is>
          <t>Su fortaleza</t>
        </is>
      </c>
      <c r="F4" s="3" t="inlineStr">
        <is>
          <t>Su debilidad</t>
        </is>
      </c>
      <c r="G4" s="3" t="inlineStr">
        <is>
          <t>Cómo se le gana</t>
        </is>
      </c>
    </row>
    <row r="5" ht="62" customHeight="1">
      <c r="A5" s="29" t="inlineStr">
        <is>
          <t>Uruguay</t>
        </is>
      </c>
      <c r="B5" s="29" t="inlineStr">
        <is>
          <t>Consultoras de datos locales</t>
        </is>
      </c>
      <c r="C5" s="30" t="inlineStr">
        <is>
          <t>Proyectos a medida: un analista arma el modelo y entrega un informe.</t>
        </is>
      </c>
      <c r="D5" s="30" t="inlineStr">
        <is>
          <t>US$ 3.000 a 15.000 por proyecto</t>
        </is>
      </c>
      <c r="E5" s="30" t="inlineStr">
        <is>
          <t>Confianza, trato cara a cara, entienden el negocio local.</t>
        </is>
      </c>
      <c r="F5" s="30" t="inlineStr">
        <is>
          <t>No dejan herramienta: cuando termina el proyecto, la empresa vuelve a depender de ellos para el próximo.</t>
        </is>
      </c>
      <c r="G5" s="30" t="inlineStr">
        <is>
          <t>MV cuesta una fracción y queda instalado. Se puede vender incluso a la consultora, como herramienta para entregar más rápido.</t>
        </is>
      </c>
    </row>
    <row r="6" ht="62" customHeight="1">
      <c r="A6" s="29" t="inlineStr">
        <is>
          <t>Uruguay</t>
        </is>
      </c>
      <c r="B6" s="29" t="inlineStr">
        <is>
          <t>Power BI / Tableau con un analista</t>
        </is>
      </c>
      <c r="C6" s="30" t="inlineStr">
        <is>
          <t>Tableros y reportes. Predicción, poco y nada.</t>
        </is>
      </c>
      <c r="D6" s="30" t="inlineStr">
        <is>
          <t>US$ 14 por usuario/mes + sueldo del analista</t>
        </is>
      </c>
      <c r="E6" s="30" t="inlineStr">
        <is>
          <t>Ya está instalado en casi todas las empresas medianas; nadie discute la compra.</t>
        </is>
      </c>
      <c r="F6" s="30" t="inlineStr">
        <is>
          <t>Describe el pasado. Para predecir hay que salir de la herramienta.</t>
        </is>
      </c>
      <c r="G6" s="30" t="inlineStr">
        <is>
          <t>MV no compite: se enchufa al lado. El discurso es «esto te dice qué va a pasar, no qué pasó».</t>
        </is>
      </c>
    </row>
    <row r="7" ht="62" customHeight="1">
      <c r="A7" s="29" t="inlineStr">
        <is>
          <t>Uruguay</t>
        </is>
      </c>
      <c r="B7" s="29" t="inlineStr">
        <is>
          <t>Desarrollador freelance</t>
        </is>
      </c>
      <c r="C7" s="30" t="inlineStr">
        <is>
          <t>Scripts de Python a medida, entregados como notebook.</t>
        </is>
      </c>
      <c r="D7" s="30" t="inlineStr">
        <is>
          <t>US$ 25 a 60 la hora</t>
        </is>
      </c>
      <c r="E7" s="30" t="inlineStr">
        <is>
          <t>Barato y flexible.</t>
        </is>
      </c>
      <c r="F7" s="30" t="inlineStr">
        <is>
          <t>Sin validación seria, sin control de fuga, sin mantenimiento. El modelo se pudre en tres meses y nadie lo nota.</t>
        </is>
      </c>
      <c r="G7" s="30" t="inlineStr">
        <is>
          <t>Ahí está la ventaja más defendible de MV: tres ventanas de validación y auditoría de fuga, o sea números en los que se puede confiar.</t>
        </is>
      </c>
    </row>
    <row r="8" ht="62" customHeight="1">
      <c r="A8" s="31" t="inlineStr">
        <is>
          <t>LATAM</t>
        </is>
      </c>
      <c r="B8" s="31" t="inlineStr">
        <is>
          <t>Pecan.ai</t>
        </is>
      </c>
      <c r="C8" s="32" t="inlineStr">
        <is>
          <t>AutoML predictivo apuntado a marketing y retención, en la nube.</t>
        </is>
      </c>
      <c r="D8" s="32" t="inlineStr">
        <is>
          <t>Empresarial, del orden de US$ 2.000+ por mes</t>
        </is>
      </c>
      <c r="E8" s="32" t="inlineStr">
        <is>
          <t>Muy pulido, buena narrativa comercial.</t>
        </is>
      </c>
      <c r="F8" s="32" t="inlineStr">
        <is>
          <t>Caro para el bolsillo de la empresa mediana de la región, y los datos van a la nube.</t>
        </is>
      </c>
      <c r="G8" s="32" t="inlineStr">
        <is>
          <t>MV corre en la máquina del cliente y cuesta 50 veces menos. Para un banco o una financiera, que los datos no salgan es un argumento de venta enorme.</t>
        </is>
      </c>
    </row>
    <row r="9" ht="62" customHeight="1">
      <c r="A9" s="31" t="inlineStr">
        <is>
          <t>LATAM</t>
        </is>
      </c>
      <c r="B9" s="31" t="inlineStr">
        <is>
          <t>Nubes regionales (Vertex AI, SageMaker, Azure ML)</t>
        </is>
      </c>
      <c r="C9" s="32" t="inlineStr">
        <is>
          <t>AutoML por consumo dentro de la nube del proveedor.</t>
        </is>
      </c>
      <c r="D9" s="32" t="inlineStr">
        <is>
          <t>Por uso: de US$ 50 a miles por mes</t>
        </is>
      </c>
      <c r="E9" s="32" t="inlineStr">
        <is>
          <t>Escala infinita, integración con el resto de la nube.</t>
        </is>
      </c>
      <c r="F9" s="32" t="inlineStr">
        <is>
          <t>Requiere un equipo que sepa usarlas. La factura es impredecible. Los datos se suben.</t>
        </is>
      </c>
      <c r="G9" s="32" t="inlineStr">
        <is>
          <t>MV es precio fijo, sin factura sorpresa, sin subir nada y sin equipo de datos.</t>
        </is>
      </c>
    </row>
    <row r="10" ht="62" customHeight="1">
      <c r="A10" s="31" t="inlineStr">
        <is>
          <t>LATAM</t>
        </is>
      </c>
      <c r="B10" s="31" t="inlineStr">
        <is>
          <t>BI regional + consultoría (SAS, Qlik y socios locales)</t>
        </is>
      </c>
      <c r="C10" s="32" t="inlineStr">
        <is>
          <t>Licencia más implementación por integrador.</t>
        </is>
      </c>
      <c r="D10" s="32" t="inlineStr">
        <is>
          <t>US$ 10.000 a 100.000 por año</t>
        </is>
      </c>
      <c r="E10" s="32" t="inlineStr">
        <is>
          <t>Relación instalada con las empresas grandes.</t>
        </is>
      </c>
      <c r="F10" s="32" t="inlineStr">
        <is>
          <t>Ciclo de venta larguísimo, implementación de meses.</t>
        </is>
      </c>
      <c r="G10" s="32" t="inlineStr">
        <is>
          <t>MV entra por abajo: se instala en una tarde y da resultado el mismo día.</t>
        </is>
      </c>
    </row>
    <row r="11" ht="62" customHeight="1">
      <c r="A11" s="33" t="inlineStr">
        <is>
          <t>Mundo</t>
        </is>
      </c>
      <c r="B11" s="33" t="inlineStr">
        <is>
          <t>DataRobot</t>
        </is>
      </c>
      <c r="C11" s="34" t="inlineStr">
        <is>
          <t>La plataforma de AutoML empresarial de referencia.</t>
        </is>
      </c>
      <c r="D11" s="34" t="inlineStr">
        <is>
          <t>Del orden de US$ 50.000+ por año</t>
        </is>
      </c>
      <c r="E11" s="34" t="inlineStr">
        <is>
          <t>Completísima, gobernanza, MLOps, soporte.</t>
        </is>
      </c>
      <c r="F11" s="34" t="inlineStr">
        <is>
          <t>Precio de otro planeta para una PyME. Implementación pesada.</t>
        </is>
      </c>
      <c r="G11" s="34" t="inlineStr">
        <is>
          <t>No se compite de frente. MV es «el DataRobot que sí podés pagar», con el 20% de las funciones que el 90% de las empresas usa.</t>
        </is>
      </c>
    </row>
    <row r="12" ht="62" customHeight="1">
      <c r="A12" s="33" t="inlineStr">
        <is>
          <t>Mundo</t>
        </is>
      </c>
      <c r="B12" s="33" t="inlineStr">
        <is>
          <t>H2O Driverless AI</t>
        </is>
      </c>
      <c r="C12" s="34" t="inlineStr">
        <is>
          <t>AutoML potente, en la nube o instalado.</t>
        </is>
      </c>
      <c r="D12" s="34" t="inlineStr">
        <is>
          <t>Decenas de miles de dólares por año</t>
        </is>
      </c>
      <c r="E12" s="34" t="inlineStr">
        <is>
          <t>Motor técnicamente muy bueno.</t>
        </is>
      </c>
      <c r="F12" s="34" t="inlineStr">
        <is>
          <t>Curva de aprendizaje y precio empresarial.</t>
        </is>
      </c>
      <c r="G12" s="34" t="inlineStr">
        <is>
          <t>MV apunta al usuario que no es científico de datos: se elige el objetivo y listo.</t>
        </is>
      </c>
    </row>
    <row r="13" ht="62" customHeight="1">
      <c r="A13" s="33" t="inlineStr">
        <is>
          <t>Mundo</t>
        </is>
      </c>
      <c r="B13" s="33" t="inlineStr">
        <is>
          <t>Dataiku</t>
        </is>
      </c>
      <c r="C13" s="34" t="inlineStr">
        <is>
          <t>Plataforma colaborativa de datos y ML.</t>
        </is>
      </c>
      <c r="D13" s="34" t="inlineStr">
        <is>
          <t>Edición gratuita limitada; empresarial de cinco cifras</t>
        </is>
      </c>
      <c r="E13" s="34" t="inlineStr">
        <is>
          <t>Cubre todo el ciclo, muy adoptada.</t>
        </is>
      </c>
      <c r="F13" s="34" t="inlineStr">
        <is>
          <t>Necesita un equipo. Pensada para organizaciones con área de datos.</t>
        </is>
      </c>
      <c r="G13" s="34" t="inlineStr">
        <is>
          <t>MV es de una sola persona: el gerente que quiere una respuesta, sin equipo.</t>
        </is>
      </c>
    </row>
    <row r="14" ht="62" customHeight="1">
      <c r="A14" s="33" t="inlineStr">
        <is>
          <t>Mundo</t>
        </is>
      </c>
      <c r="B14" s="33" t="inlineStr">
        <is>
          <t>KNIME / Orange (código abierto)</t>
        </is>
      </c>
      <c r="C14" s="34" t="inlineStr">
        <is>
          <t>Flujos visuales de análisis y ML, gratis.</t>
        </is>
      </c>
      <c r="D14" s="34" t="inlineStr">
        <is>
          <t>Gratis el escritorio; Hub pago</t>
        </is>
      </c>
      <c r="E14" s="34" t="inlineStr">
        <is>
          <t>Cuestan cero y son muy capaces.</t>
        </is>
      </c>
      <c r="F14" s="34" t="inlineStr">
        <is>
          <t>Hay que saber armar el flujo. No traen validación honesta de fábrica ni tableros de negocio.</t>
        </is>
      </c>
      <c r="G14" s="34" t="inlineStr">
        <is>
          <t>El competidor más incómodo, porque el precio es imbatible. MV gana en tiempo hasta el resultado y en que la validación viene puesta, no hay que saber armarla.</t>
        </is>
      </c>
    </row>
    <row r="15" ht="62" customHeight="1">
      <c r="A15" s="33" t="inlineStr">
        <is>
          <t>Mundo</t>
        </is>
      </c>
      <c r="B15" s="33" t="inlineStr">
        <is>
          <t>Obviously.AI, Akkio y similares</t>
        </is>
      </c>
      <c r="C15" s="34" t="inlineStr">
        <is>
          <t>AutoML web sin código, por suscripción mensual.</t>
        </is>
      </c>
      <c r="D15" s="34" t="inlineStr">
        <is>
          <t>US$ 75 a 1.500 por mes</t>
        </is>
      </c>
      <c r="E15" s="34" t="inlineStr">
        <is>
          <t>Simplísimos de usar, muy buen precio de entrada.</t>
        </is>
      </c>
      <c r="F15" s="34" t="inlineStr">
        <is>
          <t>En la nube, con topes de filas, y poco control sobre la validación.</t>
        </is>
      </c>
      <c r="G15" s="34" t="inlineStr">
        <is>
          <t>Es el competidor más parecido en precio. MV se diferencia en tres cosas: corre local, no tiene tope de filas en el plan pago, y muestra el holdout ciego.</t>
        </is>
      </c>
    </row>
    <row r="16" ht="62" customHeight="1">
      <c r="A16" s="33" t="inlineStr">
        <is>
          <t>Mundo</t>
        </is>
      </c>
      <c r="B16" s="33" t="inlineStr">
        <is>
          <t>Alteryx Designer</t>
        </is>
      </c>
      <c r="C16" s="34" t="inlineStr">
        <is>
          <t>Preparación de datos y análisis para el analista de negocio.</t>
        </is>
      </c>
      <c r="D16" s="34" t="inlineStr">
        <is>
          <t>≈ US$ 5.000 por usuario y año</t>
        </is>
      </c>
      <c r="E16" s="34" t="inlineStr">
        <is>
          <t>Estándar en muchas áreas de finanzas y operaciones.</t>
        </is>
      </c>
      <c r="F16" s="34" t="inlineStr">
        <is>
          <t>Caro por usuario; el ML es secundario.</t>
        </is>
      </c>
      <c r="G16" s="34" t="inlineStr">
        <is>
          <t>MV cubre la parte de ML a una fracción, y el ETL automático le compite de frente.</t>
        </is>
      </c>
    </row>
    <row r="18">
      <c r="A18" s="8" t="inlineStr">
        <is>
          <t>Dónde está el lugar de MV AutoML Studio</t>
        </is>
      </c>
    </row>
    <row r="19" ht="44" customHeight="1">
      <c r="A19" s="9" t="inlineStr">
        <is>
          <t>· Arriba está lo empresarial (DataRobot, H2O, Dataiku): potentísimo y a partir de cinco cifras al año. Abajo está lo gratuito (KNIME, Orange): capaz, pero hay que saber armarlo. En el medio quedan las herramientas web por suscripción, que son fáciles pero suben tus datos a la nube ajena.</t>
        </is>
      </c>
    </row>
    <row r="20" ht="44" customHeight="1">
      <c r="A20" s="9" t="inlineStr">
        <is>
          <t>· El hueco es ese: una PyME o un área de riesgo/cobranzas que quiere predecir, no tiene equipo de datos, no puede pagar cinco cifras y NO PUEDE subir los datos de sus clientes a un servidor de otro. Ahí no hay casi nadie a US$ 39 por mes.</t>
        </is>
      </c>
    </row>
    <row r="21" ht="44" customHeight="1">
      <c r="A21" s="9" t="inlineStr">
        <is>
          <t>· Los tres argumentos que hay que repetir siempre: (1) tus datos no salen de tu computadora; (2) te muestra el resultado sobre datos que el modelo nunca vio, así que el número no está inflado; (3) lo usa el que decide, no hace falta un científico de datos.</t>
        </is>
      </c>
    </row>
    <row r="22" ht="44" customHeight="1">
      <c r="A22" s="9" t="inlineStr">
        <is>
          <t>· El riesgo real no es DataRobot: es que la empresa siga usando la planilla de Excel de siempre. La venta se gana mostrando un caso propio de ellos, con sus datos, en la primera reunión.</t>
        </is>
      </c>
    </row>
  </sheetData>
  <mergeCells count="4">
    <mergeCell ref="A20:G20"/>
    <mergeCell ref="A19:G19"/>
    <mergeCell ref="A21:G21"/>
    <mergeCell ref="A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2026-08-21T20:19:00Z</dcterms:created>
  <dcterms:modified xsi:type="dcterms:W3CDTF">2026-08-21T20:19:00Z</dcterms:modified>
</cp:coreProperties>
</file>